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igencorporacion.sharepoint.com/sites/TFMVega/Documentos compartidos/Compartido/PEC4/Data/"/>
    </mc:Choice>
  </mc:AlternateContent>
  <xr:revisionPtr revIDLastSave="280" documentId="8_{99F0CB6A-2915-4F32-96F8-DF012FE4D9CB}" xr6:coauthVersionLast="47" xr6:coauthVersionMax="47" xr10:uidLastSave="{675F6256-CFEF-4F85-B3A6-091677EA1EC2}"/>
  <bookViews>
    <workbookView xWindow="-108" yWindow="-108" windowWidth="23256" windowHeight="12456" xr2:uid="{78CF646A-869D-4E68-B592-65B1CE6DDFA2}"/>
  </bookViews>
  <sheets>
    <sheet name="selected_participants" sheetId="1" r:id="rId1"/>
  </sheets>
  <definedNames>
    <definedName name="_xlnm._FilterDatabase" localSheetId="0" hidden="1">selected_participants!$A$1:$EC$123</definedName>
  </definedNames>
  <calcPr calcId="0"/>
</workbook>
</file>

<file path=xl/calcChain.xml><?xml version="1.0" encoding="utf-8"?>
<calcChain xmlns="http://schemas.openxmlformats.org/spreadsheetml/2006/main">
  <c r="L107" i="1" l="1"/>
  <c r="L95" i="1"/>
  <c r="L58" i="1"/>
</calcChain>
</file>

<file path=xl/sharedStrings.xml><?xml version="1.0" encoding="utf-8"?>
<sst xmlns="http://schemas.openxmlformats.org/spreadsheetml/2006/main" count="1175" uniqueCount="285">
  <si>
    <t>Participant</t>
  </si>
  <si>
    <t>Year of birth</t>
  </si>
  <si>
    <t>Sex/Gender</t>
  </si>
  <si>
    <t>Race/ethnicity</t>
  </si>
  <si>
    <t>Maternal grandmother: Country of origin</t>
  </si>
  <si>
    <t>Maternal grandfather: Country of origin</t>
  </si>
  <si>
    <t>Paternal grandmother: Country of origin</t>
  </si>
  <si>
    <t>Paternal grandfather: Country of origin</t>
  </si>
  <si>
    <t>Blood_type</t>
  </si>
  <si>
    <t>Height_cm</t>
  </si>
  <si>
    <t>Weight_kg</t>
  </si>
  <si>
    <t>IMC</t>
  </si>
  <si>
    <t>Angina</t>
  </si>
  <si>
    <t>Aortic aneurysm</t>
  </si>
  <si>
    <t>Atrial fibrillation</t>
  </si>
  <si>
    <t>Bundle branch block</t>
  </si>
  <si>
    <t>Cardiac arrhythmia</t>
  </si>
  <si>
    <t>Congestive heart failure</t>
  </si>
  <si>
    <t>Deep vein thrombosis (DVT)</t>
  </si>
  <si>
    <t>Dilated cardiomyopathy</t>
  </si>
  <si>
    <t>Hemorrhoids</t>
  </si>
  <si>
    <t>Hypertension</t>
  </si>
  <si>
    <t>Hypertrophic cardiomyopathy</t>
  </si>
  <si>
    <t>Mitral valve prolapse</t>
  </si>
  <si>
    <t>Myocardial infarction (heart attack)</t>
  </si>
  <si>
    <t>Other aneurysm</t>
  </si>
  <si>
    <t>Other cardiomyopathy (including ARVD)</t>
  </si>
  <si>
    <t>Premature ventricular contractions</t>
  </si>
  <si>
    <t>Pulmonary embolism</t>
  </si>
  <si>
    <t>Raynaud's phenomenon</t>
  </si>
  <si>
    <t>Sick sinus syndrome (includes tachy-brady syndrome)</t>
  </si>
  <si>
    <t>Stroke</t>
  </si>
  <si>
    <t>Varicocele</t>
  </si>
  <si>
    <t>Varicose veins</t>
  </si>
  <si>
    <t>Wolff-Parkinson-White (WPW) Syndrome</t>
  </si>
  <si>
    <t>Circulatory_conditions</t>
  </si>
  <si>
    <t>Gilbert syndrome</t>
  </si>
  <si>
    <t>Gout</t>
  </si>
  <si>
    <t>Graves' disease</t>
  </si>
  <si>
    <t>Growth hormone deficiency</t>
  </si>
  <si>
    <t>Hashimoto's thyroiditis</t>
  </si>
  <si>
    <t>Hemochromatosis</t>
  </si>
  <si>
    <t>High cholesterol (hypercholesterolemia)</t>
  </si>
  <si>
    <t>High triglycerides (hypertriglyceridemia)</t>
  </si>
  <si>
    <t>Hypothyroidism</t>
  </si>
  <si>
    <t>Lactose intolerance</t>
  </si>
  <si>
    <t>Porphyria</t>
  </si>
  <si>
    <t>Thyroid nodule(s)</t>
  </si>
  <si>
    <t>endocrine_conditions</t>
  </si>
  <si>
    <t>Folate deficiency anemia</t>
  </si>
  <si>
    <t>Idiopathic thrombocytopenic purpura (ITP)</t>
  </si>
  <si>
    <t>Iron deficiency anemia</t>
  </si>
  <si>
    <t>Von Willebrand disease</t>
  </si>
  <si>
    <t>blood_conditions</t>
  </si>
  <si>
    <t>Bell's palsy</t>
  </si>
  <si>
    <t>Carpal tunnel syndrome</t>
  </si>
  <si>
    <t>Chronic tension headaches (15+ days per month</t>
  </si>
  <si>
    <t>Cluster headaches</t>
  </si>
  <si>
    <t>Epilepsy</t>
  </si>
  <si>
    <t>Essential tremor</t>
  </si>
  <si>
    <t>Migraine with aura</t>
  </si>
  <si>
    <t>Migraine without aura</t>
  </si>
  <si>
    <t>Multiple sclerosis (MS)</t>
  </si>
  <si>
    <t>Muscular dystrophy</t>
  </si>
  <si>
    <t>Narcolepsy</t>
  </si>
  <si>
    <t>Other peripheral neuropathy</t>
  </si>
  <si>
    <t>Recurrent sleep paralysis</t>
  </si>
  <si>
    <t>Restless legs syndrome</t>
  </si>
  <si>
    <t>Trigeminal neuralgia</t>
  </si>
  <si>
    <t>at least 6 months)</t>
  </si>
  <si>
    <t>nervous_conditions</t>
  </si>
  <si>
    <t>Appendicitis</t>
  </si>
  <si>
    <t>Barrett's esophagus</t>
  </si>
  <si>
    <t>Canker sores (oral ulcers)</t>
  </si>
  <si>
    <t>Celiac disease</t>
  </si>
  <si>
    <t>Chronic liver disease and cirrhosis</t>
  </si>
  <si>
    <t>Crohn's disease</t>
  </si>
  <si>
    <t>Dental cavities</t>
  </si>
  <si>
    <t>Diverticulosis</t>
  </si>
  <si>
    <t>Gallstones</t>
  </si>
  <si>
    <t>Gastroesophageal reflux disease (GERD)</t>
  </si>
  <si>
    <t>Gingivitis</t>
  </si>
  <si>
    <t>Hiatal hernia</t>
  </si>
  <si>
    <t>Impacted tooth</t>
  </si>
  <si>
    <t>Inguinal hernia</t>
  </si>
  <si>
    <t>Irritable bowel syndrome (IBS)</t>
  </si>
  <si>
    <t>Nonalcoholic fatty liver disease (NAFLD)</t>
  </si>
  <si>
    <t>Peptic ulcer (stomach or duodenum)</t>
  </si>
  <si>
    <t>Rectal prolapse</t>
  </si>
  <si>
    <t>Temporomandibular joint (TMJ) disorder</t>
  </si>
  <si>
    <t>Ulcerative colitis</t>
  </si>
  <si>
    <t>digestive_conditions</t>
  </si>
  <si>
    <t>Acute kidney failure</t>
  </si>
  <si>
    <t>Benign prostatic hypertrophy (BPH)</t>
  </si>
  <si>
    <t>Diverticulitis Urinary Tract</t>
  </si>
  <si>
    <t>Endometriosis</t>
  </si>
  <si>
    <t>Female infertility</t>
  </si>
  <si>
    <t>Fibrocystic breast disease</t>
  </si>
  <si>
    <t>Kidney stones</t>
  </si>
  <si>
    <t>Male infertility</t>
  </si>
  <si>
    <t>Ovarian cysts</t>
  </si>
  <si>
    <t>Peyronie's disease</t>
  </si>
  <si>
    <t>Spermatocele</t>
  </si>
  <si>
    <t>Urethral diverticulum</t>
  </si>
  <si>
    <t>Urinary tract infection (UTI)</t>
  </si>
  <si>
    <t>Uterine prolapse</t>
  </si>
  <si>
    <t>genitourinary_conditions</t>
  </si>
  <si>
    <t>Achilles tendonitis</t>
  </si>
  <si>
    <t>Bone spurs</t>
  </si>
  <si>
    <t>Bunions</t>
  </si>
  <si>
    <t>Chondromalacia patella (CMP)</t>
  </si>
  <si>
    <t>Dupuytren's contracture</t>
  </si>
  <si>
    <t>Fibromyalgia</t>
  </si>
  <si>
    <t>Flatfeet</t>
  </si>
  <si>
    <t>Frozen shoulder</t>
  </si>
  <si>
    <t>Lupus</t>
  </si>
  <si>
    <t>Osgood-Schlatter disease</t>
  </si>
  <si>
    <t>Osteoarthritis</t>
  </si>
  <si>
    <t>Osteoporosis</t>
  </si>
  <si>
    <t>Plantar fasciitis</t>
  </si>
  <si>
    <t>Postural kyphosis</t>
  </si>
  <si>
    <t>Rheumatoid arthritis</t>
  </si>
  <si>
    <t>Rotator cuff tear</t>
  </si>
  <si>
    <t>Scheuermann's kyphosis</t>
  </si>
  <si>
    <t>Sciatica</t>
  </si>
  <si>
    <t>Scoliosis</t>
  </si>
  <si>
    <t>Sjogren's syndrome (Sicca syndrome)</t>
  </si>
  <si>
    <t>Spinal stenosis</t>
  </si>
  <si>
    <t>Tennis elbow</t>
  </si>
  <si>
    <t>Trigger finger</t>
  </si>
  <si>
    <t>muscular_conditions</t>
  </si>
  <si>
    <t>hu034DB1</t>
  </si>
  <si>
    <t>50-59 years</t>
  </si>
  <si>
    <t>Female</t>
  </si>
  <si>
    <t>White</t>
  </si>
  <si>
    <t>North America</t>
  </si>
  <si>
    <t>A +</t>
  </si>
  <si>
    <t>hu05FD49</t>
  </si>
  <si>
    <t>Male</t>
  </si>
  <si>
    <t>Europe</t>
  </si>
  <si>
    <t>hu094BE5</t>
  </si>
  <si>
    <t>70-79 years</t>
  </si>
  <si>
    <t>O -</t>
  </si>
  <si>
    <t>hu0D1FA1</t>
  </si>
  <si>
    <t>30-39 years</t>
  </si>
  <si>
    <t>O +</t>
  </si>
  <si>
    <t>hu1B2689</t>
  </si>
  <si>
    <t>21-29 years</t>
  </si>
  <si>
    <t>Hispanic or Latino, White</t>
  </si>
  <si>
    <t>hu1EE386</t>
  </si>
  <si>
    <t>hu24C863</t>
  </si>
  <si>
    <t>60-69 years</t>
  </si>
  <si>
    <t>hu27FD1F</t>
  </si>
  <si>
    <t>hu2A9A49</t>
  </si>
  <si>
    <t>hu2D6140</t>
  </si>
  <si>
    <t>hu2E413D</t>
  </si>
  <si>
    <t>hu2FBC1E</t>
  </si>
  <si>
    <t>40-49 years</t>
  </si>
  <si>
    <t>Don't know</t>
  </si>
  <si>
    <t>hu30888B</t>
  </si>
  <si>
    <t>hu342A08</t>
  </si>
  <si>
    <t>hu3E50D4</t>
  </si>
  <si>
    <t>hu4040B8</t>
  </si>
  <si>
    <t>hu448C4B</t>
  </si>
  <si>
    <t>AB -</t>
  </si>
  <si>
    <t>hu474789</t>
  </si>
  <si>
    <t>hu4A6650</t>
  </si>
  <si>
    <t>hu4AE0F2</t>
  </si>
  <si>
    <t>hu4BF398</t>
  </si>
  <si>
    <t>hu4DB380</t>
  </si>
  <si>
    <t>hu589D0B</t>
  </si>
  <si>
    <t>hu599905</t>
  </si>
  <si>
    <t>hu5AE84D</t>
  </si>
  <si>
    <t>AB +</t>
  </si>
  <si>
    <t>hu6182D0</t>
  </si>
  <si>
    <t>Oceania</t>
  </si>
  <si>
    <t>hu63165B</t>
  </si>
  <si>
    <t>hu694A23</t>
  </si>
  <si>
    <t>Asian</t>
  </si>
  <si>
    <t>South Asia</t>
  </si>
  <si>
    <t>hu6C3F34</t>
  </si>
  <si>
    <t>hu6E4515</t>
  </si>
  <si>
    <t>90-99 years</t>
  </si>
  <si>
    <t>hu6ED94A</t>
  </si>
  <si>
    <t>hu7123C1</t>
  </si>
  <si>
    <t>Central America</t>
  </si>
  <si>
    <t>hu715C3F</t>
  </si>
  <si>
    <t>hu77CC58</t>
  </si>
  <si>
    <t>Western Asia</t>
  </si>
  <si>
    <t>hu8578CD</t>
  </si>
  <si>
    <t>hu86597D</t>
  </si>
  <si>
    <t>hu87BAAD</t>
  </si>
  <si>
    <t>hu8E87A9</t>
  </si>
  <si>
    <t>hu904B18</t>
  </si>
  <si>
    <t>hu92C40A</t>
  </si>
  <si>
    <t>American Indian / Alaska Native, White</t>
  </si>
  <si>
    <t>hu9D00EB</t>
  </si>
  <si>
    <t>huA27736</t>
  </si>
  <si>
    <t>huA38896</t>
  </si>
  <si>
    <t>huA720D3</t>
  </si>
  <si>
    <t>B +</t>
  </si>
  <si>
    <t>huAEC1B0</t>
  </si>
  <si>
    <t>huB1FD55</t>
  </si>
  <si>
    <t>huB4940E</t>
  </si>
  <si>
    <t>huB74692</t>
  </si>
  <si>
    <t>huBA30D4</t>
  </si>
  <si>
    <t>huC5733C</t>
  </si>
  <si>
    <t>huC678E8</t>
  </si>
  <si>
    <t>huCBDC6D</t>
  </si>
  <si>
    <t>A -</t>
  </si>
  <si>
    <t>huCCD063</t>
  </si>
  <si>
    <t>huD4E03B</t>
  </si>
  <si>
    <t>huD57BBF</t>
  </si>
  <si>
    <t>huD7960A</t>
  </si>
  <si>
    <t>huDBF9DD</t>
  </si>
  <si>
    <t>huEBD467</t>
  </si>
  <si>
    <t>huEC6EEC</t>
  </si>
  <si>
    <t>huED0F40</t>
  </si>
  <si>
    <t>huF160AA</t>
  </si>
  <si>
    <t>huF48418</t>
  </si>
  <si>
    <t>huFE71F3</t>
  </si>
  <si>
    <t>huA3E77C</t>
  </si>
  <si>
    <t>hu5F0DCB</t>
  </si>
  <si>
    <t>East Asia</t>
  </si>
  <si>
    <t>hu432EB5</t>
  </si>
  <si>
    <t>hu52F345</t>
  </si>
  <si>
    <t>huE58004</t>
  </si>
  <si>
    <t>hu50B3F5</t>
  </si>
  <si>
    <t>hu7852C5</t>
  </si>
  <si>
    <t>huBAAC98</t>
  </si>
  <si>
    <t>hu72B82C</t>
  </si>
  <si>
    <t>huCFA537</t>
  </si>
  <si>
    <t>hu6A01AF</t>
  </si>
  <si>
    <t>Southeast Asia</t>
  </si>
  <si>
    <t>huA7E205</t>
  </si>
  <si>
    <t>hu025CEA</t>
  </si>
  <si>
    <t>hu620F18</t>
  </si>
  <si>
    <t>hu79AB64</t>
  </si>
  <si>
    <t>hu5962F5</t>
  </si>
  <si>
    <t>hu250634</t>
  </si>
  <si>
    <t>huC39FB3</t>
  </si>
  <si>
    <t>huF080F9</t>
  </si>
  <si>
    <t>huAD719C</t>
  </si>
  <si>
    <t>hu2B76CC</t>
  </si>
  <si>
    <t>hu04DF3C</t>
  </si>
  <si>
    <t>huD103CC</t>
  </si>
  <si>
    <t>huE9E777</t>
  </si>
  <si>
    <t>hu627574</t>
  </si>
  <si>
    <t>huAEADC0</t>
  </si>
  <si>
    <t>hu6664F3</t>
  </si>
  <si>
    <t>hu3815E2</t>
  </si>
  <si>
    <t>hu3C8DE9</t>
  </si>
  <si>
    <t>huF1C9DA</t>
  </si>
  <si>
    <t>huC3160A</t>
  </si>
  <si>
    <t>hu553620</t>
  </si>
  <si>
    <t>hu011C57</t>
  </si>
  <si>
    <t>hu0BCA45</t>
  </si>
  <si>
    <t>hu64DBF7</t>
  </si>
  <si>
    <t>hu1AF4ED</t>
  </si>
  <si>
    <t>hu60AB7C</t>
  </si>
  <si>
    <t>hu089792</t>
  </si>
  <si>
    <t>hu117D1E</t>
  </si>
  <si>
    <t>hu60180F</t>
  </si>
  <si>
    <t>hu9532BC</t>
  </si>
  <si>
    <t>hu72C17A</t>
  </si>
  <si>
    <t>hu040C0A</t>
  </si>
  <si>
    <t>hu632082</t>
  </si>
  <si>
    <t>huAC827A</t>
  </si>
  <si>
    <t>hu88943B</t>
  </si>
  <si>
    <t>hu0D879F</t>
  </si>
  <si>
    <t>hu8A5FBF</t>
  </si>
  <si>
    <t>hu28F39C</t>
  </si>
  <si>
    <t>hu106D0F</t>
  </si>
  <si>
    <t>hu7A2F1D</t>
  </si>
  <si>
    <t>B -</t>
  </si>
  <si>
    <t>hu1E868D</t>
  </si>
  <si>
    <t>hu5E55F5</t>
  </si>
  <si>
    <t>hu5FA322</t>
  </si>
  <si>
    <t>hu687B6B</t>
  </si>
  <si>
    <t>huE2E371</t>
  </si>
  <si>
    <t>hu61466C</t>
  </si>
  <si>
    <t>huD09050</t>
  </si>
  <si>
    <t>hu2843C9</t>
  </si>
  <si>
    <t>Diabetes mellitus type 1</t>
  </si>
  <si>
    <t>Diabetes mellitus type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</si>
</sst>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6DC8-E44E-4AA3-A943-8997EE4A5CB6}">
  <dimension ref="A1:EC123"/>
  <sheetViews>
    <sheetView tabSelected="1" workbookViewId="0">
      <selection sqref="A1:XFD1"/>
    </sheetView>
  </sheetViews>
  <sheetFormatPr baseColWidth="10" defaultRowHeight="14.4" x14ac:dyDescent="0.3"/>
  <sheetData>
    <row r="1" spans="1:1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2" t="s">
        <v>13</v>
      </c>
      <c r="O1" t="s">
        <v>14</v>
      </c>
      <c r="P1" t="s">
        <v>15</v>
      </c>
      <c r="Q1" s="2" t="s">
        <v>16</v>
      </c>
      <c r="R1" s="2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t="s">
        <v>27</v>
      </c>
      <c r="AC1" s="2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s="2" t="s">
        <v>37</v>
      </c>
      <c r="AM1" t="s">
        <v>38</v>
      </c>
      <c r="AN1" t="s">
        <v>39</v>
      </c>
      <c r="AO1" t="s">
        <v>40</v>
      </c>
      <c r="AP1" t="s">
        <v>41</v>
      </c>
      <c r="AQ1" s="1" t="s">
        <v>42</v>
      </c>
      <c r="AR1" s="1" t="s">
        <v>43</v>
      </c>
      <c r="AS1" t="s">
        <v>44</v>
      </c>
      <c r="AT1" t="s">
        <v>45</v>
      </c>
      <c r="AU1" s="2" t="s">
        <v>46</v>
      </c>
      <c r="AV1" t="s">
        <v>47</v>
      </c>
      <c r="AW1" s="1" t="s">
        <v>283</v>
      </c>
      <c r="AX1" s="1" t="s">
        <v>284</v>
      </c>
      <c r="AY1" s="1" t="s">
        <v>48</v>
      </c>
      <c r="AZ1" t="s">
        <v>49</v>
      </c>
      <c r="BA1" t="s">
        <v>50</v>
      </c>
      <c r="BB1" t="s">
        <v>51</v>
      </c>
      <c r="BC1" t="s">
        <v>52</v>
      </c>
      <c r="BD1" s="1" t="s">
        <v>53</v>
      </c>
      <c r="BE1" t="s">
        <v>54</v>
      </c>
      <c r="BF1" t="s">
        <v>55</v>
      </c>
      <c r="BG1" t="s">
        <v>56</v>
      </c>
      <c r="BH1" s="2" t="s">
        <v>57</v>
      </c>
      <c r="BI1" s="2" t="s">
        <v>58</v>
      </c>
      <c r="BJ1" s="2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s="2" t="s">
        <v>86</v>
      </c>
      <c r="CL1" t="s">
        <v>87</v>
      </c>
      <c r="CM1" t="s">
        <v>88</v>
      </c>
      <c r="CN1" t="s">
        <v>89</v>
      </c>
      <c r="CO1" s="2" t="s">
        <v>90</v>
      </c>
      <c r="CP1" t="s">
        <v>91</v>
      </c>
      <c r="CQ1" t="s">
        <v>92</v>
      </c>
      <c r="CR1" s="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s="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s="2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s="2" t="s">
        <v>126</v>
      </c>
      <c r="DZ1" t="s">
        <v>127</v>
      </c>
      <c r="EA1" t="s">
        <v>128</v>
      </c>
      <c r="EB1" t="s">
        <v>129</v>
      </c>
      <c r="EC1" t="s">
        <v>130</v>
      </c>
    </row>
    <row r="2" spans="1:133" x14ac:dyDescent="0.3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135</v>
      </c>
      <c r="G2" t="s">
        <v>135</v>
      </c>
      <c r="H2" t="s">
        <v>135</v>
      </c>
      <c r="I2" t="s">
        <v>136</v>
      </c>
      <c r="J2">
        <v>172.72</v>
      </c>
      <c r="K2">
        <v>72.574719999999999</v>
      </c>
      <c r="L2">
        <v>24.327647271211401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3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1</v>
      </c>
      <c r="DD2">
        <v>0</v>
      </c>
      <c r="DE2">
        <v>2</v>
      </c>
      <c r="DF2">
        <v>1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3</v>
      </c>
    </row>
    <row r="3" spans="1:133" x14ac:dyDescent="0.3">
      <c r="A3" t="s">
        <v>137</v>
      </c>
      <c r="B3" t="s">
        <v>132</v>
      </c>
      <c r="C3" t="s">
        <v>138</v>
      </c>
      <c r="D3" t="s">
        <v>134</v>
      </c>
      <c r="E3" t="s">
        <v>135</v>
      </c>
      <c r="F3" t="s">
        <v>135</v>
      </c>
      <c r="G3" t="s">
        <v>135</v>
      </c>
      <c r="H3" t="s">
        <v>139</v>
      </c>
      <c r="I3" t="s">
        <v>136</v>
      </c>
      <c r="J3">
        <v>180.34</v>
      </c>
      <c r="K3">
        <v>113.398</v>
      </c>
      <c r="L3">
        <v>34.867536507538702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1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4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</row>
    <row r="4" spans="1:133" x14ac:dyDescent="0.3">
      <c r="A4" t="s">
        <v>140</v>
      </c>
      <c r="B4" t="s">
        <v>141</v>
      </c>
      <c r="C4" t="s">
        <v>138</v>
      </c>
      <c r="D4" t="s">
        <v>134</v>
      </c>
      <c r="E4" t="s">
        <v>135</v>
      </c>
      <c r="F4" t="s">
        <v>135</v>
      </c>
      <c r="G4" t="s">
        <v>135</v>
      </c>
      <c r="H4" t="s">
        <v>135</v>
      </c>
      <c r="I4" t="s">
        <v>142</v>
      </c>
      <c r="J4">
        <v>180.34</v>
      </c>
      <c r="K4">
        <v>86.636071999999999</v>
      </c>
      <c r="L4">
        <v>26.638797891759602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1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4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3</v>
      </c>
    </row>
    <row r="5" spans="1:133" x14ac:dyDescent="0.3">
      <c r="A5" t="s">
        <v>143</v>
      </c>
      <c r="B5" t="s">
        <v>144</v>
      </c>
      <c r="C5" t="s">
        <v>133</v>
      </c>
      <c r="D5" t="s">
        <v>134</v>
      </c>
      <c r="E5" t="s">
        <v>135</v>
      </c>
      <c r="F5" t="s">
        <v>135</v>
      </c>
      <c r="G5" t="s">
        <v>135</v>
      </c>
      <c r="H5" t="s">
        <v>135</v>
      </c>
      <c r="I5" t="s">
        <v>145</v>
      </c>
      <c r="J5">
        <v>162.56</v>
      </c>
      <c r="K5">
        <v>77.110640000000004</v>
      </c>
      <c r="L5">
        <v>29.180110118032701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3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1</v>
      </c>
      <c r="DD5">
        <v>0</v>
      </c>
      <c r="DE5">
        <v>2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1</v>
      </c>
      <c r="EB5">
        <v>0</v>
      </c>
      <c r="EC5">
        <v>3</v>
      </c>
    </row>
    <row r="6" spans="1:133" x14ac:dyDescent="0.3">
      <c r="A6" t="s">
        <v>146</v>
      </c>
      <c r="B6" t="s">
        <v>147</v>
      </c>
      <c r="C6" t="s">
        <v>138</v>
      </c>
      <c r="D6" t="s">
        <v>148</v>
      </c>
      <c r="E6" t="s">
        <v>135</v>
      </c>
      <c r="F6" t="s">
        <v>135</v>
      </c>
      <c r="G6" t="s">
        <v>139</v>
      </c>
      <c r="H6" t="s">
        <v>139</v>
      </c>
      <c r="I6" t="s">
        <v>142</v>
      </c>
      <c r="J6">
        <v>182.88</v>
      </c>
      <c r="K6">
        <v>94.347136000000006</v>
      </c>
      <c r="L6">
        <v>28.2095588882535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</v>
      </c>
    </row>
    <row r="7" spans="1:133" x14ac:dyDescent="0.3">
      <c r="A7" t="s">
        <v>149</v>
      </c>
      <c r="B7" t="s">
        <v>144</v>
      </c>
      <c r="C7" t="s">
        <v>133</v>
      </c>
      <c r="D7" t="s">
        <v>134</v>
      </c>
      <c r="E7" t="s">
        <v>135</v>
      </c>
      <c r="F7" t="s">
        <v>135</v>
      </c>
      <c r="G7" t="s">
        <v>135</v>
      </c>
      <c r="H7" t="s">
        <v>135</v>
      </c>
      <c r="I7" t="s">
        <v>145</v>
      </c>
      <c r="J7">
        <v>162.56</v>
      </c>
      <c r="K7">
        <v>64.410064000000006</v>
      </c>
      <c r="L7">
        <v>24.3739743338861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1</v>
      </c>
      <c r="DD7">
        <v>0</v>
      </c>
      <c r="DE7">
        <v>3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</row>
    <row r="8" spans="1:133" x14ac:dyDescent="0.3">
      <c r="A8" t="s">
        <v>150</v>
      </c>
      <c r="B8" t="s">
        <v>151</v>
      </c>
      <c r="C8" t="s">
        <v>133</v>
      </c>
      <c r="D8" t="s">
        <v>134</v>
      </c>
      <c r="E8" t="s">
        <v>135</v>
      </c>
      <c r="F8" t="s">
        <v>135</v>
      </c>
      <c r="G8" t="s">
        <v>135</v>
      </c>
      <c r="H8" t="s">
        <v>135</v>
      </c>
      <c r="I8" t="s">
        <v>136</v>
      </c>
      <c r="J8">
        <v>162.56</v>
      </c>
      <c r="K8">
        <v>81.646559999999994</v>
      </c>
      <c r="L8">
        <v>30.896587183799301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1</v>
      </c>
      <c r="BC8">
        <v>0</v>
      </c>
      <c r="BD8">
        <v>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1</v>
      </c>
      <c r="CC8">
        <v>1</v>
      </c>
      <c r="CD8">
        <v>0</v>
      </c>
      <c r="CE8">
        <v>1</v>
      </c>
      <c r="CF8">
        <v>1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7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3</v>
      </c>
    </row>
    <row r="9" spans="1:133" x14ac:dyDescent="0.3">
      <c r="A9" t="s">
        <v>152</v>
      </c>
      <c r="B9" t="s">
        <v>141</v>
      </c>
      <c r="C9" t="s">
        <v>133</v>
      </c>
      <c r="D9" t="s">
        <v>134</v>
      </c>
      <c r="E9" t="s">
        <v>135</v>
      </c>
      <c r="F9" t="s">
        <v>135</v>
      </c>
      <c r="G9" t="s">
        <v>135</v>
      </c>
      <c r="H9" t="s">
        <v>135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0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1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2</v>
      </c>
    </row>
    <row r="10" spans="1:133" x14ac:dyDescent="0.3">
      <c r="A10" t="s">
        <v>153</v>
      </c>
      <c r="B10" t="s">
        <v>132</v>
      </c>
      <c r="C10" t="s">
        <v>138</v>
      </c>
      <c r="D10" t="s">
        <v>134</v>
      </c>
      <c r="E10" t="s">
        <v>135</v>
      </c>
      <c r="F10" t="s">
        <v>139</v>
      </c>
      <c r="G10" t="s">
        <v>139</v>
      </c>
      <c r="H10" t="s">
        <v>139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2</v>
      </c>
    </row>
    <row r="11" spans="1:133" x14ac:dyDescent="0.3">
      <c r="A11" t="s">
        <v>154</v>
      </c>
      <c r="B11" t="s">
        <v>141</v>
      </c>
      <c r="C11" t="s">
        <v>133</v>
      </c>
      <c r="D11" t="s">
        <v>134</v>
      </c>
      <c r="E11" t="s">
        <v>139</v>
      </c>
      <c r="F11" t="s">
        <v>139</v>
      </c>
      <c r="G11" t="s">
        <v>139</v>
      </c>
      <c r="H11" t="s">
        <v>139</v>
      </c>
      <c r="I11" t="s">
        <v>145</v>
      </c>
      <c r="J11">
        <v>167.64</v>
      </c>
      <c r="K11">
        <v>65.770839999999893</v>
      </c>
      <c r="L11">
        <v>23.4033530509668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1</v>
      </c>
      <c r="CE11">
        <v>1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6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</row>
    <row r="12" spans="1:133" x14ac:dyDescent="0.3">
      <c r="A12" t="s">
        <v>155</v>
      </c>
      <c r="B12" t="s">
        <v>132</v>
      </c>
      <c r="C12" t="s">
        <v>138</v>
      </c>
      <c r="D12" t="s">
        <v>134</v>
      </c>
      <c r="E12" t="s">
        <v>135</v>
      </c>
      <c r="F12" t="s">
        <v>135</v>
      </c>
      <c r="G12" t="s">
        <v>135</v>
      </c>
      <c r="H12" t="s">
        <v>135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1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4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</v>
      </c>
    </row>
    <row r="13" spans="1:133" x14ac:dyDescent="0.3">
      <c r="A13" t="s">
        <v>156</v>
      </c>
      <c r="B13" t="s">
        <v>157</v>
      </c>
      <c r="C13" t="s">
        <v>138</v>
      </c>
      <c r="D13" t="s">
        <v>134</v>
      </c>
      <c r="E13" t="s">
        <v>135</v>
      </c>
      <c r="F13" t="s">
        <v>135</v>
      </c>
      <c r="G13" t="s">
        <v>139</v>
      </c>
      <c r="H13" t="s">
        <v>139</v>
      </c>
      <c r="I13" t="s">
        <v>158</v>
      </c>
      <c r="J13">
        <v>177.8</v>
      </c>
      <c r="K13">
        <v>81.646559999999994</v>
      </c>
      <c r="L13">
        <v>25.8270247152739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2</v>
      </c>
    </row>
    <row r="14" spans="1:133" x14ac:dyDescent="0.3">
      <c r="A14" t="s">
        <v>159</v>
      </c>
      <c r="B14" t="s">
        <v>132</v>
      </c>
      <c r="C14" t="s">
        <v>138</v>
      </c>
      <c r="D14" t="s">
        <v>134</v>
      </c>
      <c r="E14" t="s">
        <v>135</v>
      </c>
      <c r="F14" t="s">
        <v>135</v>
      </c>
      <c r="G14" t="s">
        <v>135</v>
      </c>
      <c r="H14" t="s">
        <v>135</v>
      </c>
      <c r="I14" t="s">
        <v>145</v>
      </c>
      <c r="J14">
        <v>172.72</v>
      </c>
      <c r="K14">
        <v>108.862079999999</v>
      </c>
      <c r="L14">
        <v>36.491470906817199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3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</row>
    <row r="15" spans="1:133" x14ac:dyDescent="0.3">
      <c r="A15" t="s">
        <v>160</v>
      </c>
      <c r="B15" t="s">
        <v>151</v>
      </c>
      <c r="C15" t="s">
        <v>133</v>
      </c>
      <c r="D15" t="s">
        <v>134</v>
      </c>
      <c r="E15" t="s">
        <v>139</v>
      </c>
      <c r="F15" t="s">
        <v>139</v>
      </c>
      <c r="G15" t="s">
        <v>139</v>
      </c>
      <c r="H15" t="s">
        <v>139</v>
      </c>
      <c r="I15" t="s">
        <v>158</v>
      </c>
      <c r="J15">
        <v>175.26</v>
      </c>
      <c r="K15">
        <v>78.017824000000005</v>
      </c>
      <c r="L15">
        <v>25.3996784406087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3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2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</row>
    <row r="16" spans="1:133" x14ac:dyDescent="0.3">
      <c r="A16" t="s">
        <v>161</v>
      </c>
      <c r="B16" t="s">
        <v>141</v>
      </c>
      <c r="C16" t="s">
        <v>133</v>
      </c>
      <c r="D16" t="s">
        <v>134</v>
      </c>
      <c r="E16" t="s">
        <v>135</v>
      </c>
      <c r="F16" t="s">
        <v>135</v>
      </c>
      <c r="G16" t="s">
        <v>135</v>
      </c>
      <c r="H16" t="s">
        <v>135</v>
      </c>
      <c r="I16" t="s">
        <v>145</v>
      </c>
      <c r="J16">
        <v>165.1</v>
      </c>
      <c r="K16">
        <v>68.038799999999995</v>
      </c>
      <c r="L16">
        <v>24.9610298037164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1</v>
      </c>
      <c r="BB16">
        <v>1</v>
      </c>
      <c r="BC16">
        <v>0</v>
      </c>
      <c r="BD16">
        <v>2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2</v>
      </c>
      <c r="BV16">
        <v>1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5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2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5</v>
      </c>
    </row>
    <row r="17" spans="1:133" x14ac:dyDescent="0.3">
      <c r="A17" t="s">
        <v>162</v>
      </c>
      <c r="B17" t="s">
        <v>144</v>
      </c>
      <c r="C17" t="s">
        <v>138</v>
      </c>
      <c r="D17" t="s">
        <v>134</v>
      </c>
      <c r="E17" t="s">
        <v>139</v>
      </c>
      <c r="F17" t="s">
        <v>139</v>
      </c>
      <c r="G17" t="s">
        <v>139</v>
      </c>
      <c r="H17" t="s">
        <v>139</v>
      </c>
      <c r="J17">
        <v>182.88</v>
      </c>
      <c r="K17">
        <v>77.564232000000004</v>
      </c>
      <c r="L17">
        <v>23.1915123552469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1</v>
      </c>
    </row>
    <row r="18" spans="1:133" x14ac:dyDescent="0.3">
      <c r="A18" t="s">
        <v>163</v>
      </c>
      <c r="B18" t="s">
        <v>151</v>
      </c>
      <c r="C18" t="s">
        <v>138</v>
      </c>
      <c r="D18" t="s">
        <v>134</v>
      </c>
      <c r="E18" t="s">
        <v>135</v>
      </c>
      <c r="F18" t="s">
        <v>135</v>
      </c>
      <c r="G18" t="s">
        <v>135</v>
      </c>
      <c r="H18" t="s">
        <v>135</v>
      </c>
      <c r="I18" t="s">
        <v>164</v>
      </c>
      <c r="J18">
        <v>182.88</v>
      </c>
      <c r="K18">
        <v>133.80964</v>
      </c>
      <c r="L18">
        <v>40.008749384782703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3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</v>
      </c>
    </row>
    <row r="19" spans="1:133" x14ac:dyDescent="0.3">
      <c r="A19" t="s">
        <v>165</v>
      </c>
      <c r="B19" t="s">
        <v>141</v>
      </c>
      <c r="C19" t="s">
        <v>133</v>
      </c>
      <c r="D19" t="s">
        <v>134</v>
      </c>
      <c r="E19" t="s">
        <v>135</v>
      </c>
      <c r="F19" t="s">
        <v>139</v>
      </c>
      <c r="G19" t="s">
        <v>135</v>
      </c>
      <c r="H19" t="s">
        <v>135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2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1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2</v>
      </c>
    </row>
    <row r="20" spans="1:133" x14ac:dyDescent="0.3">
      <c r="A20" t="s">
        <v>166</v>
      </c>
      <c r="B20" t="s">
        <v>151</v>
      </c>
      <c r="C20" t="s">
        <v>138</v>
      </c>
      <c r="D20" t="s">
        <v>134</v>
      </c>
      <c r="E20" t="s">
        <v>135</v>
      </c>
      <c r="F20" t="s">
        <v>135</v>
      </c>
      <c r="G20" t="s">
        <v>135</v>
      </c>
      <c r="H20" t="s">
        <v>135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3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3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1</v>
      </c>
      <c r="EA20">
        <v>0</v>
      </c>
      <c r="EB20">
        <v>0</v>
      </c>
      <c r="EC20">
        <v>4</v>
      </c>
    </row>
    <row r="21" spans="1:133" x14ac:dyDescent="0.3">
      <c r="A21" t="s">
        <v>167</v>
      </c>
      <c r="B21" t="s">
        <v>151</v>
      </c>
      <c r="C21" t="s">
        <v>138</v>
      </c>
      <c r="D21" t="s">
        <v>134</v>
      </c>
      <c r="E21" t="s">
        <v>139</v>
      </c>
      <c r="F21" t="s">
        <v>139</v>
      </c>
      <c r="G21" t="s">
        <v>139</v>
      </c>
      <c r="H21" t="s">
        <v>139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3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</row>
    <row r="22" spans="1:133" x14ac:dyDescent="0.3">
      <c r="A22" t="s">
        <v>168</v>
      </c>
      <c r="B22" t="s">
        <v>141</v>
      </c>
      <c r="C22" t="s">
        <v>138</v>
      </c>
      <c r="D22" t="s">
        <v>134</v>
      </c>
      <c r="E22" t="s">
        <v>135</v>
      </c>
      <c r="F22" t="s">
        <v>135</v>
      </c>
      <c r="G22" t="s">
        <v>135</v>
      </c>
      <c r="H22" t="s">
        <v>135</v>
      </c>
      <c r="I22" t="s">
        <v>158</v>
      </c>
      <c r="J22">
        <v>200.66</v>
      </c>
      <c r="K22">
        <v>83.914519999999996</v>
      </c>
      <c r="L22">
        <v>20.840853410596399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0</v>
      </c>
      <c r="CE22">
        <v>1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8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</row>
    <row r="23" spans="1:133" x14ac:dyDescent="0.3">
      <c r="A23" t="s">
        <v>169</v>
      </c>
      <c r="B23" t="s">
        <v>144</v>
      </c>
      <c r="C23" t="s">
        <v>138</v>
      </c>
      <c r="D23" t="s">
        <v>134</v>
      </c>
      <c r="E23" t="s">
        <v>139</v>
      </c>
      <c r="F23" t="s">
        <v>139</v>
      </c>
      <c r="G23" t="s">
        <v>135</v>
      </c>
      <c r="H23" t="s">
        <v>135</v>
      </c>
      <c r="I23" t="s">
        <v>136</v>
      </c>
      <c r="J23">
        <v>170.18</v>
      </c>
      <c r="K23">
        <v>68.945983999999996</v>
      </c>
      <c r="L23">
        <v>23.8063018340338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1</v>
      </c>
      <c r="CF23">
        <v>1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6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2</v>
      </c>
    </row>
    <row r="24" spans="1:133" x14ac:dyDescent="0.3">
      <c r="A24" t="s">
        <v>170</v>
      </c>
      <c r="B24" t="s">
        <v>157</v>
      </c>
      <c r="C24" t="s">
        <v>138</v>
      </c>
      <c r="D24" t="s">
        <v>134</v>
      </c>
      <c r="E24" t="s">
        <v>135</v>
      </c>
      <c r="F24" t="s">
        <v>135</v>
      </c>
      <c r="G24" t="s">
        <v>135</v>
      </c>
      <c r="H24" t="s">
        <v>135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3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</row>
    <row r="25" spans="1:133" x14ac:dyDescent="0.3">
      <c r="A25" t="s">
        <v>171</v>
      </c>
      <c r="B25" t="s">
        <v>132</v>
      </c>
      <c r="C25" t="s">
        <v>138</v>
      </c>
      <c r="D25" t="s">
        <v>134</v>
      </c>
      <c r="E25" t="s">
        <v>135</v>
      </c>
      <c r="F25" t="s">
        <v>135</v>
      </c>
      <c r="G25" t="s">
        <v>135</v>
      </c>
      <c r="H25" t="s">
        <v>135</v>
      </c>
      <c r="I25" t="s">
        <v>136</v>
      </c>
      <c r="J25">
        <v>167.64</v>
      </c>
      <c r="K25">
        <v>86.182479999999998</v>
      </c>
      <c r="L25">
        <v>30.666462618508302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1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1</v>
      </c>
      <c r="CL25">
        <v>0</v>
      </c>
      <c r="CM25">
        <v>1</v>
      </c>
      <c r="CN25">
        <v>0</v>
      </c>
      <c r="CO25">
        <v>0</v>
      </c>
      <c r="CP25">
        <v>7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1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4</v>
      </c>
    </row>
    <row r="26" spans="1:133" x14ac:dyDescent="0.3">
      <c r="A26" t="s">
        <v>172</v>
      </c>
      <c r="B26" t="s">
        <v>144</v>
      </c>
      <c r="C26" t="s">
        <v>133</v>
      </c>
      <c r="D26" t="s">
        <v>134</v>
      </c>
      <c r="E26" t="s">
        <v>135</v>
      </c>
      <c r="F26" t="s">
        <v>135</v>
      </c>
      <c r="G26" t="s">
        <v>135</v>
      </c>
      <c r="H26" t="s">
        <v>135</v>
      </c>
      <c r="I26" t="s">
        <v>173</v>
      </c>
      <c r="J26">
        <v>157.47999999999999</v>
      </c>
      <c r="K26">
        <v>57.152591999999999</v>
      </c>
      <c r="L26">
        <v>23.045446090892099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2</v>
      </c>
    </row>
    <row r="27" spans="1:133" x14ac:dyDescent="0.3">
      <c r="A27" t="s">
        <v>174</v>
      </c>
      <c r="B27" t="s">
        <v>141</v>
      </c>
      <c r="C27" t="s">
        <v>138</v>
      </c>
      <c r="D27" t="s">
        <v>134</v>
      </c>
      <c r="E27" t="s">
        <v>139</v>
      </c>
      <c r="F27" t="s">
        <v>139</v>
      </c>
      <c r="G27" t="s">
        <v>175</v>
      </c>
      <c r="H27" t="s">
        <v>139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2</v>
      </c>
    </row>
    <row r="28" spans="1:133" x14ac:dyDescent="0.3">
      <c r="A28" t="s">
        <v>176</v>
      </c>
      <c r="B28" t="s">
        <v>132</v>
      </c>
      <c r="C28" t="s">
        <v>138</v>
      </c>
      <c r="D28" t="s">
        <v>134</v>
      </c>
      <c r="E28" t="s">
        <v>135</v>
      </c>
      <c r="F28" t="s">
        <v>135</v>
      </c>
      <c r="G28" t="s">
        <v>135</v>
      </c>
      <c r="H28" t="s">
        <v>135</v>
      </c>
      <c r="I28" t="s">
        <v>145</v>
      </c>
      <c r="J28">
        <v>190.5</v>
      </c>
      <c r="K28">
        <v>77.110640000000004</v>
      </c>
      <c r="L28">
        <v>21.2483077410599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1</v>
      </c>
      <c r="CF28">
        <v>1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4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1</v>
      </c>
    </row>
    <row r="29" spans="1:133" x14ac:dyDescent="0.3">
      <c r="A29" t="s">
        <v>177</v>
      </c>
      <c r="B29" t="s">
        <v>147</v>
      </c>
      <c r="C29" t="s">
        <v>138</v>
      </c>
      <c r="D29" t="s">
        <v>178</v>
      </c>
      <c r="E29" t="s">
        <v>179</v>
      </c>
      <c r="F29" t="s">
        <v>179</v>
      </c>
      <c r="G29" t="s">
        <v>179</v>
      </c>
      <c r="H29" t="s">
        <v>179</v>
      </c>
      <c r="I29" t="s">
        <v>142</v>
      </c>
      <c r="J29">
        <v>182.88</v>
      </c>
      <c r="K29">
        <v>104.32616</v>
      </c>
      <c r="L29">
        <v>31.193262232203399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</row>
    <row r="30" spans="1:133" x14ac:dyDescent="0.3">
      <c r="A30" t="s">
        <v>180</v>
      </c>
      <c r="B30" t="s">
        <v>132</v>
      </c>
      <c r="C30" t="s">
        <v>133</v>
      </c>
      <c r="D30" t="s">
        <v>134</v>
      </c>
      <c r="E30" t="s">
        <v>139</v>
      </c>
      <c r="F30" t="s">
        <v>139</v>
      </c>
      <c r="G30" t="s">
        <v>139</v>
      </c>
      <c r="H30" t="s">
        <v>139</v>
      </c>
      <c r="I30" t="s">
        <v>173</v>
      </c>
      <c r="J30">
        <v>170.18</v>
      </c>
      <c r="K30">
        <v>76.203456000000003</v>
      </c>
      <c r="L30">
        <v>26.312228342879401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2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1</v>
      </c>
      <c r="CO30">
        <v>0</v>
      </c>
      <c r="CP30">
        <v>5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2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2</v>
      </c>
    </row>
    <row r="31" spans="1:133" x14ac:dyDescent="0.3">
      <c r="A31" t="s">
        <v>181</v>
      </c>
      <c r="B31" t="s">
        <v>182</v>
      </c>
      <c r="C31" t="s">
        <v>138</v>
      </c>
      <c r="D31" t="s">
        <v>134</v>
      </c>
      <c r="E31" t="s">
        <v>139</v>
      </c>
      <c r="F31" t="s">
        <v>139</v>
      </c>
      <c r="G31" t="s">
        <v>139</v>
      </c>
      <c r="H31" t="s">
        <v>139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4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2</v>
      </c>
    </row>
    <row r="32" spans="1:133" x14ac:dyDescent="0.3">
      <c r="A32" t="s">
        <v>183</v>
      </c>
      <c r="B32" t="s">
        <v>151</v>
      </c>
      <c r="C32" t="s">
        <v>138</v>
      </c>
      <c r="D32" t="s">
        <v>134</v>
      </c>
      <c r="E32" t="s">
        <v>135</v>
      </c>
      <c r="F32" t="s">
        <v>135</v>
      </c>
      <c r="G32" t="s">
        <v>139</v>
      </c>
      <c r="H32" t="s">
        <v>135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2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2</v>
      </c>
    </row>
    <row r="33" spans="1:133" x14ac:dyDescent="0.3">
      <c r="A33" t="s">
        <v>184</v>
      </c>
      <c r="B33" t="s">
        <v>151</v>
      </c>
      <c r="C33" t="s">
        <v>138</v>
      </c>
      <c r="D33" t="s">
        <v>134</v>
      </c>
      <c r="E33" t="s">
        <v>139</v>
      </c>
      <c r="F33" t="s">
        <v>139</v>
      </c>
      <c r="G33" t="s">
        <v>185</v>
      </c>
      <c r="H33" t="s">
        <v>139</v>
      </c>
      <c r="I33" t="s">
        <v>136</v>
      </c>
      <c r="J33">
        <v>182.88</v>
      </c>
      <c r="K33">
        <v>88.45044</v>
      </c>
      <c r="L33">
        <v>26.446461457737701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2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</row>
    <row r="34" spans="1:133" x14ac:dyDescent="0.3">
      <c r="A34" t="s">
        <v>186</v>
      </c>
      <c r="B34" t="s">
        <v>157</v>
      </c>
      <c r="C34" t="s">
        <v>133</v>
      </c>
      <c r="D34" t="s">
        <v>134</v>
      </c>
      <c r="E34" t="s">
        <v>135</v>
      </c>
      <c r="F34" t="s">
        <v>135</v>
      </c>
      <c r="G34" t="s">
        <v>135</v>
      </c>
      <c r="H34" t="s">
        <v>135</v>
      </c>
      <c r="I34" t="s">
        <v>136</v>
      </c>
      <c r="J34">
        <v>167.64</v>
      </c>
      <c r="K34">
        <v>63.502879999999998</v>
      </c>
      <c r="L34">
        <v>22.596340876795601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8</v>
      </c>
      <c r="AK34">
        <v>1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6</v>
      </c>
      <c r="AZ34">
        <v>1</v>
      </c>
      <c r="BA34">
        <v>0</v>
      </c>
      <c r="BB34">
        <v>1</v>
      </c>
      <c r="BC34">
        <v>0</v>
      </c>
      <c r="BD34">
        <v>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1</v>
      </c>
      <c r="CK34">
        <v>1</v>
      </c>
      <c r="CL34">
        <v>0</v>
      </c>
      <c r="CM34">
        <v>0</v>
      </c>
      <c r="CN34">
        <v>1</v>
      </c>
      <c r="CO34">
        <v>0</v>
      </c>
      <c r="CP34">
        <v>4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1</v>
      </c>
      <c r="DY34">
        <v>1</v>
      </c>
      <c r="DZ34">
        <v>0</v>
      </c>
      <c r="EA34">
        <v>0</v>
      </c>
      <c r="EB34">
        <v>0</v>
      </c>
      <c r="EC34">
        <v>4</v>
      </c>
    </row>
    <row r="35" spans="1:133" x14ac:dyDescent="0.3">
      <c r="A35" t="s">
        <v>187</v>
      </c>
      <c r="B35" t="s">
        <v>144</v>
      </c>
      <c r="C35" t="s">
        <v>138</v>
      </c>
      <c r="D35" t="s">
        <v>134</v>
      </c>
      <c r="E35" t="s">
        <v>139</v>
      </c>
      <c r="F35" t="s">
        <v>139</v>
      </c>
      <c r="G35" t="s">
        <v>188</v>
      </c>
      <c r="H35" t="s">
        <v>188</v>
      </c>
      <c r="I35" t="s">
        <v>142</v>
      </c>
      <c r="J35">
        <v>187.96</v>
      </c>
      <c r="K35">
        <v>95.254319999999893</v>
      </c>
      <c r="L35">
        <v>26.962105786885001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3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</row>
    <row r="36" spans="1:133" x14ac:dyDescent="0.3">
      <c r="A36" t="s">
        <v>189</v>
      </c>
      <c r="B36" t="s">
        <v>132</v>
      </c>
      <c r="C36" t="s">
        <v>138</v>
      </c>
      <c r="D36" t="s">
        <v>134</v>
      </c>
      <c r="E36" t="s">
        <v>135</v>
      </c>
      <c r="F36" t="s">
        <v>135</v>
      </c>
      <c r="G36" t="s">
        <v>135</v>
      </c>
      <c r="H36" t="s">
        <v>135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4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</row>
    <row r="37" spans="1:133" x14ac:dyDescent="0.3">
      <c r="A37" t="s">
        <v>190</v>
      </c>
      <c r="B37" t="s">
        <v>151</v>
      </c>
      <c r="C37" t="s">
        <v>133</v>
      </c>
      <c r="D37" t="s">
        <v>134</v>
      </c>
      <c r="E37" t="s">
        <v>135</v>
      </c>
      <c r="F37" t="s">
        <v>135</v>
      </c>
      <c r="G37" t="s">
        <v>135</v>
      </c>
      <c r="H37" t="s">
        <v>139</v>
      </c>
      <c r="I37" t="s">
        <v>136</v>
      </c>
      <c r="J37">
        <v>167.64</v>
      </c>
      <c r="K37">
        <v>63.502879999999998</v>
      </c>
      <c r="L37">
        <v>22.596340876795601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2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3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2</v>
      </c>
    </row>
    <row r="38" spans="1:133" x14ac:dyDescent="0.3">
      <c r="A38" t="s">
        <v>191</v>
      </c>
      <c r="B38" t="s">
        <v>141</v>
      </c>
      <c r="C38" t="s">
        <v>133</v>
      </c>
      <c r="D38" t="s">
        <v>134</v>
      </c>
      <c r="E38" t="s">
        <v>135</v>
      </c>
      <c r="F38" t="s">
        <v>135</v>
      </c>
      <c r="G38" t="s">
        <v>135</v>
      </c>
      <c r="H38" t="s">
        <v>135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1</v>
      </c>
      <c r="DE38">
        <v>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</row>
    <row r="39" spans="1:133" x14ac:dyDescent="0.3">
      <c r="A39" t="s">
        <v>192</v>
      </c>
      <c r="B39" t="s">
        <v>141</v>
      </c>
      <c r="C39" t="s">
        <v>133</v>
      </c>
      <c r="D39" t="s">
        <v>134</v>
      </c>
      <c r="E39" t="s">
        <v>139</v>
      </c>
      <c r="F39" t="s">
        <v>139</v>
      </c>
      <c r="G39" t="s">
        <v>139</v>
      </c>
      <c r="H39" t="s">
        <v>139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2</v>
      </c>
    </row>
    <row r="40" spans="1:133" x14ac:dyDescent="0.3">
      <c r="A40" t="s">
        <v>193</v>
      </c>
      <c r="B40" t="s">
        <v>151</v>
      </c>
      <c r="C40" t="s">
        <v>138</v>
      </c>
      <c r="D40" t="s">
        <v>134</v>
      </c>
      <c r="E40" t="s">
        <v>135</v>
      </c>
      <c r="F40" t="s">
        <v>135</v>
      </c>
      <c r="G40" t="s">
        <v>135</v>
      </c>
      <c r="H40" t="s">
        <v>135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0</v>
      </c>
      <c r="BW40">
        <v>1</v>
      </c>
      <c r="BX40">
        <v>1</v>
      </c>
      <c r="BY40">
        <v>0</v>
      </c>
      <c r="BZ40">
        <v>0</v>
      </c>
      <c r="CA40">
        <v>0</v>
      </c>
      <c r="CB40">
        <v>1</v>
      </c>
      <c r="CC40">
        <v>1</v>
      </c>
      <c r="CD40">
        <v>0</v>
      </c>
      <c r="CE40">
        <v>1</v>
      </c>
      <c r="CF40">
        <v>0</v>
      </c>
      <c r="CG40">
        <v>1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7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</row>
    <row r="41" spans="1:133" x14ac:dyDescent="0.3">
      <c r="A41" t="s">
        <v>194</v>
      </c>
      <c r="B41" t="s">
        <v>151</v>
      </c>
      <c r="C41" t="s">
        <v>133</v>
      </c>
      <c r="D41" t="s">
        <v>195</v>
      </c>
      <c r="E41" t="s">
        <v>135</v>
      </c>
      <c r="F41" t="s">
        <v>135</v>
      </c>
      <c r="G41" t="s">
        <v>135</v>
      </c>
      <c r="H41" t="s">
        <v>135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4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2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4</v>
      </c>
    </row>
    <row r="42" spans="1:133" x14ac:dyDescent="0.3">
      <c r="A42" t="s">
        <v>196</v>
      </c>
      <c r="B42" t="s">
        <v>132</v>
      </c>
      <c r="C42" t="s">
        <v>138</v>
      </c>
      <c r="D42" t="s">
        <v>134</v>
      </c>
      <c r="E42" t="s">
        <v>135</v>
      </c>
      <c r="F42" t="s">
        <v>135</v>
      </c>
      <c r="G42" t="s">
        <v>135</v>
      </c>
      <c r="H42" t="s">
        <v>135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3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</row>
    <row r="43" spans="1:133" x14ac:dyDescent="0.3">
      <c r="A43" t="s">
        <v>197</v>
      </c>
      <c r="B43" t="s">
        <v>144</v>
      </c>
      <c r="C43" t="s">
        <v>138</v>
      </c>
      <c r="D43" t="s">
        <v>134</v>
      </c>
      <c r="E43" t="s">
        <v>139</v>
      </c>
      <c r="F43" t="s">
        <v>139</v>
      </c>
      <c r="G43" t="s">
        <v>135</v>
      </c>
      <c r="H43" t="s">
        <v>135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3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2</v>
      </c>
    </row>
    <row r="44" spans="1:133" x14ac:dyDescent="0.3">
      <c r="A44" t="s">
        <v>198</v>
      </c>
      <c r="B44" t="s">
        <v>157</v>
      </c>
      <c r="C44" t="s">
        <v>138</v>
      </c>
      <c r="D44" t="s">
        <v>134</v>
      </c>
      <c r="E44" t="s">
        <v>135</v>
      </c>
      <c r="F44" t="s">
        <v>135</v>
      </c>
      <c r="G44" t="s">
        <v>135</v>
      </c>
      <c r="H44" t="s">
        <v>135</v>
      </c>
      <c r="I44" t="s">
        <v>136</v>
      </c>
      <c r="J44">
        <v>185.42</v>
      </c>
      <c r="K44">
        <v>86.182479999999998</v>
      </c>
      <c r="L44">
        <v>25.067200444027399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2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</row>
    <row r="45" spans="1:133" x14ac:dyDescent="0.3">
      <c r="A45" t="s">
        <v>199</v>
      </c>
      <c r="B45" t="s">
        <v>132</v>
      </c>
      <c r="C45" t="s">
        <v>138</v>
      </c>
      <c r="D45" t="s">
        <v>134</v>
      </c>
      <c r="E45" t="s">
        <v>135</v>
      </c>
      <c r="F45" t="s">
        <v>135</v>
      </c>
      <c r="G45" t="s">
        <v>135</v>
      </c>
      <c r="H45" t="s">
        <v>139</v>
      </c>
      <c r="I45" t="s">
        <v>200</v>
      </c>
      <c r="J45">
        <v>177.8</v>
      </c>
      <c r="K45">
        <v>73.481904</v>
      </c>
      <c r="L45">
        <v>23.244322243746499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2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</row>
    <row r="46" spans="1:133" x14ac:dyDescent="0.3">
      <c r="A46" t="s">
        <v>201</v>
      </c>
      <c r="B46" t="s">
        <v>147</v>
      </c>
      <c r="C46" t="s">
        <v>138</v>
      </c>
      <c r="D46" t="s">
        <v>134</v>
      </c>
      <c r="E46" t="s">
        <v>139</v>
      </c>
      <c r="F46" t="s">
        <v>139</v>
      </c>
      <c r="G46" t="s">
        <v>188</v>
      </c>
      <c r="H46" t="s">
        <v>135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</row>
    <row r="47" spans="1:133" x14ac:dyDescent="0.3">
      <c r="A47" t="s">
        <v>202</v>
      </c>
      <c r="B47" t="s">
        <v>132</v>
      </c>
      <c r="C47" t="s">
        <v>138</v>
      </c>
      <c r="D47" t="s">
        <v>134</v>
      </c>
      <c r="E47" t="s">
        <v>135</v>
      </c>
      <c r="F47" t="s">
        <v>139</v>
      </c>
      <c r="G47" t="s">
        <v>135</v>
      </c>
      <c r="H47" t="s">
        <v>139</v>
      </c>
      <c r="I47" t="s">
        <v>158</v>
      </c>
      <c r="J47">
        <v>182.88</v>
      </c>
      <c r="K47">
        <v>105.233344</v>
      </c>
      <c r="L47">
        <v>31.464507990744298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2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</v>
      </c>
    </row>
    <row r="48" spans="1:133" x14ac:dyDescent="0.3">
      <c r="A48" t="s">
        <v>203</v>
      </c>
      <c r="B48" t="s">
        <v>157</v>
      </c>
      <c r="C48" t="s">
        <v>138</v>
      </c>
      <c r="D48" t="s">
        <v>134</v>
      </c>
      <c r="E48" t="s">
        <v>135</v>
      </c>
      <c r="F48" t="s">
        <v>135</v>
      </c>
      <c r="G48" t="s">
        <v>139</v>
      </c>
      <c r="H48" t="s">
        <v>135</v>
      </c>
      <c r="I48" t="s">
        <v>158</v>
      </c>
      <c r="J48">
        <v>177.8</v>
      </c>
      <c r="K48">
        <v>102.0582</v>
      </c>
      <c r="L48">
        <v>32.283780894092303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1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3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</row>
    <row r="49" spans="1:133" x14ac:dyDescent="0.3">
      <c r="A49" t="s">
        <v>204</v>
      </c>
      <c r="B49" t="s">
        <v>141</v>
      </c>
      <c r="C49" t="s">
        <v>138</v>
      </c>
      <c r="D49" t="s">
        <v>134</v>
      </c>
      <c r="E49" t="s">
        <v>135</v>
      </c>
      <c r="F49" t="s">
        <v>135</v>
      </c>
      <c r="G49" t="s">
        <v>135</v>
      </c>
      <c r="H49" t="s">
        <v>135</v>
      </c>
      <c r="I49" t="s">
        <v>145</v>
      </c>
      <c r="J49">
        <v>172.72</v>
      </c>
      <c r="K49">
        <v>95.707911999999993</v>
      </c>
      <c r="L49">
        <v>32.082084838910099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4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2</v>
      </c>
      <c r="DF49">
        <v>0</v>
      </c>
      <c r="DG49">
        <v>0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2</v>
      </c>
    </row>
    <row r="50" spans="1:133" x14ac:dyDescent="0.3">
      <c r="A50" t="s">
        <v>205</v>
      </c>
      <c r="B50" t="s">
        <v>151</v>
      </c>
      <c r="C50" t="s">
        <v>138</v>
      </c>
      <c r="D50" t="s">
        <v>134</v>
      </c>
      <c r="E50" t="s">
        <v>135</v>
      </c>
      <c r="F50" t="s">
        <v>139</v>
      </c>
      <c r="G50" t="s">
        <v>135</v>
      </c>
      <c r="H50" t="s">
        <v>135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3</v>
      </c>
    </row>
    <row r="51" spans="1:133" x14ac:dyDescent="0.3">
      <c r="A51" t="s">
        <v>206</v>
      </c>
      <c r="B51" t="s">
        <v>132</v>
      </c>
      <c r="C51" t="s">
        <v>138</v>
      </c>
      <c r="D51" t="s">
        <v>134</v>
      </c>
      <c r="E51" t="s">
        <v>139</v>
      </c>
      <c r="F51" t="s">
        <v>139</v>
      </c>
      <c r="G51" t="s">
        <v>139</v>
      </c>
      <c r="H51" t="s">
        <v>139</v>
      </c>
      <c r="I51" t="s">
        <v>145</v>
      </c>
      <c r="J51">
        <v>177.8</v>
      </c>
      <c r="K51">
        <v>79.378600000000006</v>
      </c>
      <c r="L51">
        <v>25.109607362071799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1</v>
      </c>
      <c r="CE51">
        <v>0</v>
      </c>
      <c r="CF51">
        <v>1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4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2</v>
      </c>
    </row>
    <row r="52" spans="1:133" x14ac:dyDescent="0.3">
      <c r="A52" t="s">
        <v>207</v>
      </c>
      <c r="B52" t="s">
        <v>157</v>
      </c>
      <c r="C52" t="s">
        <v>138</v>
      </c>
      <c r="D52" t="s">
        <v>134</v>
      </c>
      <c r="E52" t="s">
        <v>139</v>
      </c>
      <c r="F52" t="s">
        <v>139</v>
      </c>
      <c r="G52" t="s">
        <v>139</v>
      </c>
      <c r="H52" t="s">
        <v>139</v>
      </c>
      <c r="I52" t="s">
        <v>145</v>
      </c>
      <c r="J52">
        <v>182.88</v>
      </c>
      <c r="K52">
        <v>115.66596</v>
      </c>
      <c r="L52">
        <v>34.5838342139647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2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1</v>
      </c>
    </row>
    <row r="53" spans="1:133" x14ac:dyDescent="0.3">
      <c r="A53" t="s">
        <v>208</v>
      </c>
      <c r="B53" t="s">
        <v>151</v>
      </c>
      <c r="C53" t="s">
        <v>138</v>
      </c>
      <c r="D53" t="s">
        <v>134</v>
      </c>
      <c r="E53" t="s">
        <v>135</v>
      </c>
      <c r="F53" t="s">
        <v>135</v>
      </c>
      <c r="G53" t="s">
        <v>135</v>
      </c>
      <c r="H53" t="s">
        <v>139</v>
      </c>
      <c r="I53" t="s">
        <v>209</v>
      </c>
      <c r="J53">
        <v>170.18</v>
      </c>
      <c r="K53">
        <v>72.574719999999999</v>
      </c>
      <c r="L53">
        <v>25.059265088456598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1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4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</row>
    <row r="54" spans="1:133" x14ac:dyDescent="0.3">
      <c r="A54" t="s">
        <v>210</v>
      </c>
      <c r="B54" t="s">
        <v>132</v>
      </c>
      <c r="C54" t="s">
        <v>138</v>
      </c>
      <c r="D54" t="s">
        <v>134</v>
      </c>
      <c r="E54" t="s">
        <v>139</v>
      </c>
      <c r="F54" t="s">
        <v>139</v>
      </c>
      <c r="G54" t="s">
        <v>139</v>
      </c>
      <c r="H54" t="s">
        <v>139</v>
      </c>
      <c r="I54" t="s">
        <v>145</v>
      </c>
      <c r="J54">
        <v>190.5</v>
      </c>
      <c r="K54">
        <v>113.398</v>
      </c>
      <c r="L54">
        <v>31.247511383911601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</row>
    <row r="55" spans="1:133" x14ac:dyDescent="0.3">
      <c r="A55" t="s">
        <v>211</v>
      </c>
      <c r="B55" t="s">
        <v>144</v>
      </c>
      <c r="C55" t="s">
        <v>138</v>
      </c>
      <c r="D55" t="s">
        <v>134</v>
      </c>
      <c r="E55" t="s">
        <v>139</v>
      </c>
      <c r="F55" t="s">
        <v>139</v>
      </c>
      <c r="G55" t="s">
        <v>139</v>
      </c>
      <c r="H55" t="s">
        <v>139</v>
      </c>
      <c r="I55" t="s">
        <v>158</v>
      </c>
      <c r="J55">
        <v>187.96</v>
      </c>
      <c r="K55">
        <v>127.00576</v>
      </c>
      <c r="L55">
        <v>35.949474382513401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1</v>
      </c>
      <c r="CF55">
        <v>1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5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</row>
    <row r="56" spans="1:133" x14ac:dyDescent="0.3">
      <c r="A56" t="s">
        <v>212</v>
      </c>
      <c r="B56" t="s">
        <v>151</v>
      </c>
      <c r="C56" t="s">
        <v>138</v>
      </c>
      <c r="D56" t="s">
        <v>134</v>
      </c>
      <c r="E56" t="s">
        <v>135</v>
      </c>
      <c r="F56" t="s">
        <v>135</v>
      </c>
      <c r="G56" t="s">
        <v>135</v>
      </c>
      <c r="H56" t="s">
        <v>135</v>
      </c>
      <c r="I56" t="s">
        <v>145</v>
      </c>
      <c r="J56">
        <v>175.26</v>
      </c>
      <c r="K56">
        <v>79.378600000000006</v>
      </c>
      <c r="L56">
        <v>25.8426960878286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1</v>
      </c>
      <c r="CD56">
        <v>0</v>
      </c>
      <c r="CE56">
        <v>0</v>
      </c>
      <c r="CF56">
        <v>1</v>
      </c>
      <c r="CG56">
        <v>1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5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2</v>
      </c>
    </row>
    <row r="57" spans="1:133" x14ac:dyDescent="0.3">
      <c r="A57" t="s">
        <v>213</v>
      </c>
      <c r="B57" t="s">
        <v>151</v>
      </c>
      <c r="C57" t="s">
        <v>138</v>
      </c>
      <c r="D57" t="s">
        <v>134</v>
      </c>
      <c r="E57" t="s">
        <v>139</v>
      </c>
      <c r="F57" t="s">
        <v>139</v>
      </c>
      <c r="G57" t="s">
        <v>139</v>
      </c>
      <c r="H57" t="s">
        <v>139</v>
      </c>
      <c r="I57" t="s">
        <v>145</v>
      </c>
      <c r="J57">
        <v>172.72</v>
      </c>
      <c r="K57">
        <v>74.842680000000001</v>
      </c>
      <c r="L57">
        <v>25.087886248436799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1</v>
      </c>
      <c r="CF57">
        <v>0</v>
      </c>
      <c r="CG57">
        <v>1</v>
      </c>
      <c r="CH57">
        <v>1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7</v>
      </c>
      <c r="CQ57">
        <v>0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1</v>
      </c>
      <c r="DG57">
        <v>0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3</v>
      </c>
    </row>
    <row r="58" spans="1:133" x14ac:dyDescent="0.3">
      <c r="A58" t="s">
        <v>214</v>
      </c>
      <c r="B58" t="s">
        <v>157</v>
      </c>
      <c r="C58" t="s">
        <v>138</v>
      </c>
      <c r="D58" t="s">
        <v>134</v>
      </c>
      <c r="E58" t="s">
        <v>135</v>
      </c>
      <c r="F58" t="s">
        <v>135</v>
      </c>
      <c r="G58" t="s">
        <v>135</v>
      </c>
      <c r="H58" t="s">
        <v>135</v>
      </c>
      <c r="I58" t="s">
        <v>200</v>
      </c>
      <c r="J58">
        <v>180.34</v>
      </c>
      <c r="K58">
        <v>122.46984</v>
      </c>
      <c r="L58">
        <f>K58/(J58/100)^2</f>
        <v>37.656939428141897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2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</row>
    <row r="59" spans="1:133" x14ac:dyDescent="0.3">
      <c r="A59" t="s">
        <v>215</v>
      </c>
      <c r="B59" t="s">
        <v>144</v>
      </c>
      <c r="C59" t="s">
        <v>138</v>
      </c>
      <c r="D59" t="s">
        <v>134</v>
      </c>
      <c r="E59" t="s">
        <v>185</v>
      </c>
      <c r="F59" t="s">
        <v>135</v>
      </c>
      <c r="G59" t="s">
        <v>135</v>
      </c>
      <c r="H59" t="s">
        <v>135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2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</row>
    <row r="60" spans="1:133" x14ac:dyDescent="0.3">
      <c r="A60" t="s">
        <v>216</v>
      </c>
      <c r="B60" t="s">
        <v>157</v>
      </c>
      <c r="C60" t="s">
        <v>133</v>
      </c>
      <c r="D60" t="s">
        <v>148</v>
      </c>
      <c r="E60" t="s">
        <v>135</v>
      </c>
      <c r="F60" t="s">
        <v>135</v>
      </c>
      <c r="G60" t="s">
        <v>135</v>
      </c>
      <c r="H60" t="s">
        <v>135</v>
      </c>
      <c r="I60" t="s">
        <v>145</v>
      </c>
      <c r="J60">
        <v>162.56</v>
      </c>
      <c r="K60">
        <v>89.357624000000001</v>
      </c>
      <c r="L60">
        <v>33.814598195602599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5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1</v>
      </c>
    </row>
    <row r="61" spans="1:133" x14ac:dyDescent="0.3">
      <c r="A61" t="s">
        <v>217</v>
      </c>
      <c r="B61" t="s">
        <v>157</v>
      </c>
      <c r="C61" t="s">
        <v>138</v>
      </c>
      <c r="D61" t="s">
        <v>134</v>
      </c>
      <c r="E61" t="s">
        <v>135</v>
      </c>
      <c r="F61" t="s">
        <v>135</v>
      </c>
      <c r="G61" t="s">
        <v>135</v>
      </c>
      <c r="H61" t="s">
        <v>135</v>
      </c>
      <c r="I61" t="s">
        <v>145</v>
      </c>
      <c r="J61">
        <v>185.42</v>
      </c>
      <c r="K61">
        <v>92.079176000000004</v>
      </c>
      <c r="L61">
        <v>26.782324684934601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1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0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4</v>
      </c>
    </row>
    <row r="62" spans="1:133" x14ac:dyDescent="0.3">
      <c r="A62" t="s">
        <v>218</v>
      </c>
      <c r="B62" t="s">
        <v>132</v>
      </c>
      <c r="C62" t="s">
        <v>138</v>
      </c>
      <c r="D62" t="s">
        <v>134</v>
      </c>
      <c r="E62" t="s">
        <v>139</v>
      </c>
      <c r="F62" t="s">
        <v>139</v>
      </c>
      <c r="G62" t="s">
        <v>139</v>
      </c>
      <c r="H62" t="s">
        <v>139</v>
      </c>
      <c r="I62" t="s">
        <v>158</v>
      </c>
      <c r="J62">
        <v>165.1</v>
      </c>
      <c r="K62">
        <v>99.790239999999997</v>
      </c>
      <c r="L62">
        <v>36.609510378784002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4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4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1</v>
      </c>
    </row>
    <row r="63" spans="1:133" x14ac:dyDescent="0.3">
      <c r="A63" t="s">
        <v>219</v>
      </c>
      <c r="B63" t="s">
        <v>151</v>
      </c>
      <c r="C63" t="s">
        <v>138</v>
      </c>
      <c r="D63" t="s">
        <v>134</v>
      </c>
      <c r="E63" t="s">
        <v>139</v>
      </c>
      <c r="F63" t="s">
        <v>139</v>
      </c>
      <c r="G63" t="s">
        <v>139</v>
      </c>
      <c r="H63" t="s">
        <v>139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3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</row>
    <row r="64" spans="1:133" x14ac:dyDescent="0.3">
      <c r="A64" t="s">
        <v>220</v>
      </c>
      <c r="B64" t="s">
        <v>132</v>
      </c>
      <c r="C64" t="s">
        <v>138</v>
      </c>
      <c r="D64" t="s">
        <v>134</v>
      </c>
      <c r="E64" t="s">
        <v>135</v>
      </c>
      <c r="F64" t="s">
        <v>139</v>
      </c>
      <c r="G64" t="s">
        <v>135</v>
      </c>
      <c r="H64" t="s">
        <v>139</v>
      </c>
      <c r="I64" t="s">
        <v>142</v>
      </c>
      <c r="J64">
        <v>165.1</v>
      </c>
      <c r="K64">
        <v>88.45044</v>
      </c>
      <c r="L64">
        <v>32.449338744831302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1</v>
      </c>
      <c r="BS64">
        <v>0</v>
      </c>
      <c r="BT64">
        <v>0</v>
      </c>
      <c r="BU64">
        <v>2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3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1</v>
      </c>
      <c r="DF64">
        <v>0</v>
      </c>
      <c r="DG64">
        <v>1</v>
      </c>
      <c r="DH64">
        <v>0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4</v>
      </c>
    </row>
    <row r="65" spans="1:133" x14ac:dyDescent="0.3">
      <c r="A65" t="s">
        <v>221</v>
      </c>
      <c r="B65" t="s">
        <v>147</v>
      </c>
      <c r="C65" t="s">
        <v>138</v>
      </c>
      <c r="D65" t="s">
        <v>134</v>
      </c>
      <c r="E65" t="s">
        <v>135</v>
      </c>
      <c r="F65" t="s">
        <v>135</v>
      </c>
      <c r="G65" t="s">
        <v>135</v>
      </c>
      <c r="H65" t="s">
        <v>135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</row>
    <row r="66" spans="1:133" x14ac:dyDescent="0.3">
      <c r="A66" t="s">
        <v>222</v>
      </c>
      <c r="B66" t="s">
        <v>147</v>
      </c>
      <c r="C66" t="s">
        <v>138</v>
      </c>
      <c r="D66" t="s">
        <v>178</v>
      </c>
      <c r="E66" t="s">
        <v>223</v>
      </c>
      <c r="F66" t="s">
        <v>223</v>
      </c>
      <c r="G66" t="s">
        <v>223</v>
      </c>
      <c r="H66" t="s">
        <v>223</v>
      </c>
      <c r="I66" t="s">
        <v>200</v>
      </c>
      <c r="J66">
        <v>162.56</v>
      </c>
      <c r="K66">
        <v>61.688512000000003</v>
      </c>
      <c r="L66">
        <v>23.344088094426098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</row>
    <row r="67" spans="1:133" x14ac:dyDescent="0.3">
      <c r="A67" t="s">
        <v>224</v>
      </c>
      <c r="B67" t="s">
        <v>147</v>
      </c>
      <c r="C67" t="s">
        <v>138</v>
      </c>
      <c r="D67" t="s">
        <v>134</v>
      </c>
      <c r="E67" t="s">
        <v>135</v>
      </c>
      <c r="F67" t="s">
        <v>135</v>
      </c>
      <c r="G67" t="s">
        <v>135</v>
      </c>
      <c r="H67" t="s">
        <v>135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</v>
      </c>
      <c r="AZ67">
        <v>0</v>
      </c>
      <c r="BA67">
        <v>0</v>
      </c>
      <c r="BB67">
        <v>0</v>
      </c>
      <c r="BC67">
        <v>1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</row>
    <row r="68" spans="1:133" x14ac:dyDescent="0.3">
      <c r="A68" t="s">
        <v>225</v>
      </c>
      <c r="B68" t="s">
        <v>144</v>
      </c>
      <c r="C68" t="s">
        <v>133</v>
      </c>
      <c r="D68" t="s">
        <v>134</v>
      </c>
      <c r="E68" t="s">
        <v>135</v>
      </c>
      <c r="F68" t="s">
        <v>135</v>
      </c>
      <c r="G68" t="s">
        <v>135</v>
      </c>
      <c r="H68" t="s">
        <v>135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</row>
    <row r="69" spans="1:133" x14ac:dyDescent="0.3">
      <c r="A69" t="s">
        <v>226</v>
      </c>
      <c r="B69" t="s">
        <v>144</v>
      </c>
      <c r="C69" t="s">
        <v>133</v>
      </c>
      <c r="D69" t="s">
        <v>134</v>
      </c>
      <c r="E69" t="s">
        <v>135</v>
      </c>
      <c r="F69" t="s">
        <v>135</v>
      </c>
      <c r="G69" t="s">
        <v>135</v>
      </c>
      <c r="H69" t="s">
        <v>135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1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5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</row>
    <row r="70" spans="1:133" x14ac:dyDescent="0.3">
      <c r="A70" t="s">
        <v>227</v>
      </c>
      <c r="B70" t="s">
        <v>144</v>
      </c>
      <c r="C70" t="s">
        <v>133</v>
      </c>
      <c r="D70" t="s">
        <v>134</v>
      </c>
      <c r="E70" t="s">
        <v>139</v>
      </c>
      <c r="F70" t="s">
        <v>139</v>
      </c>
      <c r="G70" t="s">
        <v>139</v>
      </c>
      <c r="H70" t="s">
        <v>139</v>
      </c>
      <c r="I70" t="s">
        <v>136</v>
      </c>
      <c r="J70">
        <v>180.34</v>
      </c>
      <c r="K70">
        <v>81.646559999999994</v>
      </c>
      <c r="L70">
        <v>25.104626285427901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1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</row>
    <row r="71" spans="1:133" x14ac:dyDescent="0.3">
      <c r="A71" t="s">
        <v>228</v>
      </c>
      <c r="B71" t="s">
        <v>144</v>
      </c>
      <c r="C71" t="s">
        <v>138</v>
      </c>
      <c r="D71" t="s">
        <v>134</v>
      </c>
      <c r="E71" t="s">
        <v>135</v>
      </c>
      <c r="F71" t="s">
        <v>135</v>
      </c>
      <c r="G71" t="s">
        <v>135</v>
      </c>
      <c r="H71" t="s">
        <v>135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3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1</v>
      </c>
    </row>
    <row r="72" spans="1:133" x14ac:dyDescent="0.3">
      <c r="A72" t="s">
        <v>229</v>
      </c>
      <c r="B72" t="s">
        <v>144</v>
      </c>
      <c r="C72" t="s">
        <v>138</v>
      </c>
      <c r="D72" t="s">
        <v>134</v>
      </c>
      <c r="E72" t="s">
        <v>139</v>
      </c>
      <c r="F72" t="s">
        <v>139</v>
      </c>
      <c r="G72" t="s">
        <v>139</v>
      </c>
      <c r="H72" t="s">
        <v>139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3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2</v>
      </c>
    </row>
    <row r="73" spans="1:133" x14ac:dyDescent="0.3">
      <c r="A73" t="s">
        <v>230</v>
      </c>
      <c r="B73" t="s">
        <v>144</v>
      </c>
      <c r="C73" t="s">
        <v>138</v>
      </c>
      <c r="D73" t="s">
        <v>134</v>
      </c>
      <c r="E73" t="s">
        <v>139</v>
      </c>
      <c r="F73" t="s">
        <v>139</v>
      </c>
      <c r="G73" t="s">
        <v>139</v>
      </c>
      <c r="H73" t="s">
        <v>139</v>
      </c>
      <c r="I73" t="s">
        <v>158</v>
      </c>
      <c r="J73">
        <v>187.96</v>
      </c>
      <c r="K73">
        <v>90.718400000000003</v>
      </c>
      <c r="L73">
        <v>25.6781959875095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1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4</v>
      </c>
    </row>
    <row r="74" spans="1:133" x14ac:dyDescent="0.3">
      <c r="A74" t="s">
        <v>231</v>
      </c>
      <c r="B74" t="s">
        <v>144</v>
      </c>
      <c r="C74" t="s">
        <v>138</v>
      </c>
      <c r="D74" t="s">
        <v>134</v>
      </c>
      <c r="E74" t="s">
        <v>139</v>
      </c>
      <c r="F74" t="s">
        <v>139</v>
      </c>
      <c r="G74" t="s">
        <v>139</v>
      </c>
      <c r="H74" t="s">
        <v>139</v>
      </c>
      <c r="I74" t="s">
        <v>142</v>
      </c>
      <c r="J74">
        <v>182.88</v>
      </c>
      <c r="K74">
        <v>92.986360000000005</v>
      </c>
      <c r="L74">
        <v>27.8026902504422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</v>
      </c>
    </row>
    <row r="75" spans="1:133" x14ac:dyDescent="0.3">
      <c r="A75" t="s">
        <v>232</v>
      </c>
      <c r="B75" t="s">
        <v>144</v>
      </c>
      <c r="C75" t="s">
        <v>138</v>
      </c>
      <c r="D75" t="s">
        <v>178</v>
      </c>
      <c r="E75" t="s">
        <v>233</v>
      </c>
      <c r="F75" t="s">
        <v>233</v>
      </c>
      <c r="G75" t="s">
        <v>233</v>
      </c>
      <c r="H75" t="s">
        <v>233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4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</row>
    <row r="76" spans="1:133" x14ac:dyDescent="0.3">
      <c r="A76" t="s">
        <v>234</v>
      </c>
      <c r="B76" t="s">
        <v>144</v>
      </c>
      <c r="C76" t="s">
        <v>138</v>
      </c>
      <c r="D76" t="s">
        <v>178</v>
      </c>
      <c r="E76" t="s">
        <v>179</v>
      </c>
      <c r="F76" t="s">
        <v>179</v>
      </c>
      <c r="G76" t="s">
        <v>179</v>
      </c>
      <c r="H76" t="s">
        <v>179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</row>
    <row r="77" spans="1:133" x14ac:dyDescent="0.3">
      <c r="A77" t="s">
        <v>235</v>
      </c>
      <c r="B77" t="s">
        <v>157</v>
      </c>
      <c r="C77" t="s">
        <v>133</v>
      </c>
      <c r="D77" t="s">
        <v>134</v>
      </c>
      <c r="E77" t="s">
        <v>135</v>
      </c>
      <c r="F77" t="s">
        <v>135</v>
      </c>
      <c r="G77" t="s">
        <v>135</v>
      </c>
      <c r="H77" t="s">
        <v>135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1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</row>
    <row r="78" spans="1:133" x14ac:dyDescent="0.3">
      <c r="A78" t="s">
        <v>236</v>
      </c>
      <c r="B78" t="s">
        <v>157</v>
      </c>
      <c r="C78" t="s">
        <v>133</v>
      </c>
      <c r="D78" t="s">
        <v>195</v>
      </c>
      <c r="E78" t="s">
        <v>135</v>
      </c>
      <c r="F78" t="s">
        <v>135</v>
      </c>
      <c r="G78" t="s">
        <v>135</v>
      </c>
      <c r="H78" t="s">
        <v>135</v>
      </c>
      <c r="I78" t="s">
        <v>142</v>
      </c>
      <c r="J78">
        <v>162.56</v>
      </c>
      <c r="K78">
        <v>68.038799999999995</v>
      </c>
      <c r="L78">
        <v>25.747155986499401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3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1</v>
      </c>
    </row>
    <row r="79" spans="1:133" x14ac:dyDescent="0.3">
      <c r="A79" t="s">
        <v>237</v>
      </c>
      <c r="B79" t="s">
        <v>157</v>
      </c>
      <c r="C79" t="s">
        <v>138</v>
      </c>
      <c r="D79" t="s">
        <v>178</v>
      </c>
      <c r="E79" t="s">
        <v>223</v>
      </c>
      <c r="F79" t="s">
        <v>223</v>
      </c>
      <c r="G79" t="s">
        <v>223</v>
      </c>
      <c r="H79" t="s">
        <v>223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3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</v>
      </c>
    </row>
    <row r="80" spans="1:133" x14ac:dyDescent="0.3">
      <c r="A80" t="s">
        <v>238</v>
      </c>
      <c r="B80" t="s">
        <v>157</v>
      </c>
      <c r="C80" t="s">
        <v>138</v>
      </c>
      <c r="D80" t="s">
        <v>134</v>
      </c>
      <c r="E80" t="s">
        <v>135</v>
      </c>
      <c r="F80" t="s">
        <v>135</v>
      </c>
      <c r="G80" t="s">
        <v>135</v>
      </c>
      <c r="H80" t="s">
        <v>135</v>
      </c>
      <c r="I80" t="s">
        <v>145</v>
      </c>
      <c r="J80">
        <v>177.8</v>
      </c>
      <c r="K80">
        <v>76.203456000000003</v>
      </c>
      <c r="L80">
        <v>24.105223067588899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2</v>
      </c>
    </row>
    <row r="81" spans="1:133" x14ac:dyDescent="0.3">
      <c r="A81" t="s">
        <v>239</v>
      </c>
      <c r="B81" t="s">
        <v>157</v>
      </c>
      <c r="C81" t="s">
        <v>138</v>
      </c>
      <c r="D81" t="s">
        <v>134</v>
      </c>
      <c r="E81" t="s">
        <v>139</v>
      </c>
      <c r="F81" t="s">
        <v>139</v>
      </c>
      <c r="G81" t="s">
        <v>135</v>
      </c>
      <c r="H81" t="s">
        <v>135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2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2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</row>
    <row r="82" spans="1:133" x14ac:dyDescent="0.3">
      <c r="A82" t="s">
        <v>240</v>
      </c>
      <c r="B82" t="s">
        <v>157</v>
      </c>
      <c r="C82" t="s">
        <v>138</v>
      </c>
      <c r="D82" t="s">
        <v>134</v>
      </c>
      <c r="E82" t="s">
        <v>135</v>
      </c>
      <c r="F82" t="s">
        <v>135</v>
      </c>
      <c r="G82" t="s">
        <v>188</v>
      </c>
      <c r="H82" t="s">
        <v>188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</row>
    <row r="83" spans="1:133" x14ac:dyDescent="0.3">
      <c r="A83" t="s">
        <v>241</v>
      </c>
      <c r="B83" t="s">
        <v>157</v>
      </c>
      <c r="C83" t="s">
        <v>138</v>
      </c>
      <c r="D83" t="s">
        <v>134</v>
      </c>
      <c r="E83" t="s">
        <v>135</v>
      </c>
      <c r="F83" t="s">
        <v>139</v>
      </c>
      <c r="G83" t="s">
        <v>139</v>
      </c>
      <c r="H83" t="s">
        <v>139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2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1</v>
      </c>
      <c r="EC83">
        <v>2</v>
      </c>
    </row>
    <row r="84" spans="1:133" x14ac:dyDescent="0.3">
      <c r="A84" t="s">
        <v>242</v>
      </c>
      <c r="B84" t="s">
        <v>157</v>
      </c>
      <c r="C84" t="s">
        <v>138</v>
      </c>
      <c r="D84" t="s">
        <v>134</v>
      </c>
      <c r="E84" t="s">
        <v>135</v>
      </c>
      <c r="F84" t="s">
        <v>135</v>
      </c>
      <c r="G84" t="s">
        <v>139</v>
      </c>
      <c r="H84" t="s">
        <v>139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2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</row>
    <row r="85" spans="1:133" x14ac:dyDescent="0.3">
      <c r="A85" t="s">
        <v>243</v>
      </c>
      <c r="B85" t="s">
        <v>157</v>
      </c>
      <c r="C85" t="s">
        <v>138</v>
      </c>
      <c r="D85" t="s">
        <v>134</v>
      </c>
      <c r="E85" t="s">
        <v>135</v>
      </c>
      <c r="F85" t="s">
        <v>135</v>
      </c>
      <c r="G85" t="s">
        <v>135</v>
      </c>
      <c r="H85" t="s">
        <v>135</v>
      </c>
      <c r="I85" t="s">
        <v>145</v>
      </c>
      <c r="J85">
        <v>182.88</v>
      </c>
      <c r="K85">
        <v>83.007335999999995</v>
      </c>
      <c r="L85">
        <v>24.818986906492299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</row>
    <row r="86" spans="1:133" x14ac:dyDescent="0.3">
      <c r="A86" t="s">
        <v>244</v>
      </c>
      <c r="B86" t="s">
        <v>132</v>
      </c>
      <c r="C86" t="s">
        <v>133</v>
      </c>
      <c r="D86" t="s">
        <v>134</v>
      </c>
      <c r="E86" t="s">
        <v>139</v>
      </c>
      <c r="F86" t="s">
        <v>139</v>
      </c>
      <c r="G86" t="s">
        <v>135</v>
      </c>
      <c r="H86" t="s">
        <v>135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1</v>
      </c>
      <c r="DF86">
        <v>0</v>
      </c>
      <c r="DG86">
        <v>1</v>
      </c>
      <c r="DH86">
        <v>1</v>
      </c>
      <c r="DI86">
        <v>0</v>
      </c>
      <c r="DJ86">
        <v>0</v>
      </c>
      <c r="DK86">
        <v>0</v>
      </c>
      <c r="DL86">
        <v>1</v>
      </c>
      <c r="DM86">
        <v>1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5</v>
      </c>
    </row>
    <row r="87" spans="1:133" x14ac:dyDescent="0.3">
      <c r="A87" t="s">
        <v>245</v>
      </c>
      <c r="B87" t="s">
        <v>132</v>
      </c>
      <c r="C87" t="s">
        <v>133</v>
      </c>
      <c r="D87" t="s">
        <v>134</v>
      </c>
      <c r="E87" t="s">
        <v>139</v>
      </c>
      <c r="F87" t="s">
        <v>139</v>
      </c>
      <c r="G87" t="s">
        <v>139</v>
      </c>
      <c r="H87" t="s">
        <v>139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</row>
    <row r="88" spans="1:133" x14ac:dyDescent="0.3">
      <c r="A88" t="s">
        <v>246</v>
      </c>
      <c r="B88" t="s">
        <v>132</v>
      </c>
      <c r="C88" t="s">
        <v>138</v>
      </c>
      <c r="D88" t="s">
        <v>134</v>
      </c>
      <c r="E88" t="s">
        <v>135</v>
      </c>
      <c r="F88" t="s">
        <v>135</v>
      </c>
      <c r="G88" t="s">
        <v>135</v>
      </c>
      <c r="H88" t="s">
        <v>135</v>
      </c>
      <c r="I88" t="s">
        <v>145</v>
      </c>
      <c r="J88">
        <v>175.26</v>
      </c>
      <c r="K88">
        <v>74.842680000000001</v>
      </c>
      <c r="L88">
        <v>24.365970597095501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4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3</v>
      </c>
    </row>
    <row r="89" spans="1:133" x14ac:dyDescent="0.3">
      <c r="A89" t="s">
        <v>247</v>
      </c>
      <c r="B89" t="s">
        <v>132</v>
      </c>
      <c r="C89" t="s">
        <v>138</v>
      </c>
      <c r="D89" t="s">
        <v>134</v>
      </c>
      <c r="E89" t="s">
        <v>139</v>
      </c>
      <c r="F89" t="s">
        <v>139</v>
      </c>
      <c r="G89" t="s">
        <v>139</v>
      </c>
      <c r="H89" t="s">
        <v>139</v>
      </c>
      <c r="I89" t="s">
        <v>145</v>
      </c>
      <c r="J89">
        <v>170.18</v>
      </c>
      <c r="K89">
        <v>79.378600000000006</v>
      </c>
      <c r="L89">
        <v>27.408571190499401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0</v>
      </c>
      <c r="BA89">
        <v>0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4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0</v>
      </c>
      <c r="DB89">
        <v>1</v>
      </c>
      <c r="DC89">
        <v>1</v>
      </c>
      <c r="DD89">
        <v>0</v>
      </c>
      <c r="DE89">
        <v>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1</v>
      </c>
    </row>
    <row r="90" spans="1:133" x14ac:dyDescent="0.3">
      <c r="A90" t="s">
        <v>248</v>
      </c>
      <c r="B90" t="s">
        <v>132</v>
      </c>
      <c r="C90" t="s">
        <v>138</v>
      </c>
      <c r="D90" t="s">
        <v>134</v>
      </c>
      <c r="E90" t="s">
        <v>135</v>
      </c>
      <c r="F90" t="s">
        <v>135</v>
      </c>
      <c r="G90" t="s">
        <v>135</v>
      </c>
      <c r="H90" t="s">
        <v>135</v>
      </c>
      <c r="I90" t="s">
        <v>209</v>
      </c>
      <c r="J90">
        <v>175.26</v>
      </c>
      <c r="K90">
        <v>65.770839999999893</v>
      </c>
      <c r="L90">
        <v>21.4125196156294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</row>
    <row r="91" spans="1:133" x14ac:dyDescent="0.3">
      <c r="A91" t="s">
        <v>249</v>
      </c>
      <c r="B91" t="s">
        <v>132</v>
      </c>
      <c r="C91" t="s">
        <v>138</v>
      </c>
      <c r="D91" t="s">
        <v>134</v>
      </c>
      <c r="E91" t="s">
        <v>139</v>
      </c>
      <c r="F91" t="s">
        <v>139</v>
      </c>
      <c r="G91" t="s">
        <v>139</v>
      </c>
      <c r="H91" t="s">
        <v>139</v>
      </c>
      <c r="I91" t="s">
        <v>209</v>
      </c>
      <c r="J91">
        <v>185.42</v>
      </c>
      <c r="K91">
        <v>109.769263999999</v>
      </c>
      <c r="L91">
        <v>31.927697407656002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2</v>
      </c>
    </row>
    <row r="92" spans="1:133" x14ac:dyDescent="0.3">
      <c r="A92" t="s">
        <v>250</v>
      </c>
      <c r="B92" t="s">
        <v>132</v>
      </c>
      <c r="C92" t="s">
        <v>138</v>
      </c>
      <c r="D92" t="s">
        <v>134</v>
      </c>
      <c r="E92" t="s">
        <v>139</v>
      </c>
      <c r="F92" t="s">
        <v>139</v>
      </c>
      <c r="G92" t="s">
        <v>139</v>
      </c>
      <c r="H92" t="s">
        <v>139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</row>
    <row r="93" spans="1:133" x14ac:dyDescent="0.3">
      <c r="A93" t="s">
        <v>251</v>
      </c>
      <c r="B93" t="s">
        <v>132</v>
      </c>
      <c r="C93" t="s">
        <v>138</v>
      </c>
      <c r="D93" t="s">
        <v>195</v>
      </c>
      <c r="E93" t="s">
        <v>135</v>
      </c>
      <c r="F93" t="s">
        <v>135</v>
      </c>
      <c r="G93" t="s">
        <v>139</v>
      </c>
      <c r="H93" t="s">
        <v>139</v>
      </c>
      <c r="I93" t="s">
        <v>209</v>
      </c>
      <c r="J93">
        <v>182.88</v>
      </c>
      <c r="K93">
        <v>79.378600000000006</v>
      </c>
      <c r="L93">
        <v>23.734003872328699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2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1</v>
      </c>
    </row>
    <row r="94" spans="1:133" x14ac:dyDescent="0.3">
      <c r="A94" t="s">
        <v>252</v>
      </c>
      <c r="B94" t="s">
        <v>132</v>
      </c>
      <c r="C94" t="s">
        <v>138</v>
      </c>
      <c r="D94" t="s">
        <v>134</v>
      </c>
      <c r="E94" t="s">
        <v>135</v>
      </c>
      <c r="F94" t="s">
        <v>135</v>
      </c>
      <c r="G94" t="s">
        <v>179</v>
      </c>
      <c r="H94" t="s">
        <v>135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</row>
    <row r="95" spans="1:133" x14ac:dyDescent="0.3">
      <c r="A95" t="s">
        <v>253</v>
      </c>
      <c r="B95" t="s">
        <v>132</v>
      </c>
      <c r="C95" t="s">
        <v>138</v>
      </c>
      <c r="D95" t="s">
        <v>134</v>
      </c>
      <c r="E95" t="s">
        <v>139</v>
      </c>
      <c r="F95" t="s">
        <v>139</v>
      </c>
      <c r="G95" t="s">
        <v>139</v>
      </c>
      <c r="H95" t="s">
        <v>139</v>
      </c>
      <c r="I95" t="s">
        <v>136</v>
      </c>
      <c r="J95">
        <v>177.8</v>
      </c>
      <c r="K95">
        <v>77.110640000000004</v>
      </c>
      <c r="L95">
        <f t="shared" ref="L95" si="0">K95/(J95/100)^2</f>
        <v>24.392190008869814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2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1</v>
      </c>
      <c r="DX95">
        <v>1</v>
      </c>
      <c r="DY95">
        <v>0</v>
      </c>
      <c r="DZ95">
        <v>0</v>
      </c>
      <c r="EA95">
        <v>1</v>
      </c>
      <c r="EB95">
        <v>0</v>
      </c>
      <c r="EC95">
        <v>3</v>
      </c>
    </row>
    <row r="96" spans="1:133" x14ac:dyDescent="0.3">
      <c r="A96" t="s">
        <v>254</v>
      </c>
      <c r="B96" t="s">
        <v>132</v>
      </c>
      <c r="C96" t="s">
        <v>138</v>
      </c>
      <c r="D96" t="s">
        <v>134</v>
      </c>
      <c r="E96" t="s">
        <v>135</v>
      </c>
      <c r="F96" t="s">
        <v>139</v>
      </c>
      <c r="G96" t="s">
        <v>139</v>
      </c>
      <c r="H96" t="s">
        <v>139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1</v>
      </c>
      <c r="CF96">
        <v>1</v>
      </c>
      <c r="CG96">
        <v>0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</row>
    <row r="97" spans="1:133" x14ac:dyDescent="0.3">
      <c r="A97" t="s">
        <v>255</v>
      </c>
      <c r="B97" t="s">
        <v>132</v>
      </c>
      <c r="C97" t="s">
        <v>138</v>
      </c>
      <c r="D97" t="s">
        <v>134</v>
      </c>
      <c r="E97" t="s">
        <v>139</v>
      </c>
      <c r="F97" t="s">
        <v>139</v>
      </c>
      <c r="G97" t="s">
        <v>139</v>
      </c>
      <c r="H97" t="s">
        <v>139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1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5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</row>
    <row r="98" spans="1:133" x14ac:dyDescent="0.3">
      <c r="A98" t="s">
        <v>256</v>
      </c>
      <c r="B98" t="s">
        <v>132</v>
      </c>
      <c r="C98" t="s">
        <v>138</v>
      </c>
      <c r="D98" t="s">
        <v>134</v>
      </c>
      <c r="E98" t="s">
        <v>139</v>
      </c>
      <c r="F98" t="s">
        <v>135</v>
      </c>
      <c r="G98" t="s">
        <v>135</v>
      </c>
      <c r="H98" t="s">
        <v>135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</row>
    <row r="99" spans="1:133" x14ac:dyDescent="0.3">
      <c r="A99" t="s">
        <v>257</v>
      </c>
      <c r="B99" t="s">
        <v>132</v>
      </c>
      <c r="C99" t="s">
        <v>138</v>
      </c>
      <c r="D99" t="s">
        <v>134</v>
      </c>
      <c r="E99" t="s">
        <v>135</v>
      </c>
      <c r="F99" t="s">
        <v>135</v>
      </c>
      <c r="G99" t="s">
        <v>135</v>
      </c>
      <c r="H99" t="s">
        <v>135</v>
      </c>
      <c r="I99" t="s">
        <v>142</v>
      </c>
      <c r="J99">
        <v>177.8</v>
      </c>
      <c r="K99">
        <v>72.574719999999999</v>
      </c>
      <c r="L99">
        <v>22.9573553024657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1</v>
      </c>
      <c r="CC99">
        <v>1</v>
      </c>
      <c r="CD99">
        <v>0</v>
      </c>
      <c r="CE99">
        <v>0</v>
      </c>
      <c r="CF99">
        <v>1</v>
      </c>
      <c r="CG99">
        <v>0</v>
      </c>
      <c r="CH99">
        <v>1</v>
      </c>
      <c r="CI99">
        <v>1</v>
      </c>
      <c r="CJ99">
        <v>0</v>
      </c>
      <c r="CK99">
        <v>0</v>
      </c>
      <c r="CL99">
        <v>1</v>
      </c>
      <c r="CM99">
        <v>0</v>
      </c>
      <c r="CN99">
        <v>1</v>
      </c>
      <c r="CO99">
        <v>0</v>
      </c>
      <c r="CP99">
        <v>8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1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3</v>
      </c>
    </row>
    <row r="100" spans="1:133" x14ac:dyDescent="0.3">
      <c r="A100" t="s">
        <v>258</v>
      </c>
      <c r="B100" t="s">
        <v>132</v>
      </c>
      <c r="C100" t="s">
        <v>138</v>
      </c>
      <c r="D100" t="s">
        <v>134</v>
      </c>
      <c r="E100" t="s">
        <v>139</v>
      </c>
      <c r="F100" t="s">
        <v>139</v>
      </c>
      <c r="G100" t="s">
        <v>139</v>
      </c>
      <c r="H100" t="s">
        <v>139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2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</row>
    <row r="101" spans="1:133" x14ac:dyDescent="0.3">
      <c r="A101" t="s">
        <v>259</v>
      </c>
      <c r="B101" t="s">
        <v>132</v>
      </c>
      <c r="C101" t="s">
        <v>138</v>
      </c>
      <c r="D101" t="s">
        <v>134</v>
      </c>
      <c r="E101" t="s">
        <v>139</v>
      </c>
      <c r="F101" t="s">
        <v>139</v>
      </c>
      <c r="G101" t="s">
        <v>139</v>
      </c>
      <c r="H101" t="s">
        <v>139</v>
      </c>
      <c r="I101" t="s">
        <v>136</v>
      </c>
      <c r="J101">
        <v>175.26</v>
      </c>
      <c r="K101">
        <v>91.625584000000003</v>
      </c>
      <c r="L101">
        <v>29.8298549128079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1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5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</row>
    <row r="102" spans="1:133" x14ac:dyDescent="0.3">
      <c r="A102" t="s">
        <v>260</v>
      </c>
      <c r="B102" t="s">
        <v>151</v>
      </c>
      <c r="C102" t="s">
        <v>133</v>
      </c>
      <c r="D102" t="s">
        <v>134</v>
      </c>
      <c r="E102" t="s">
        <v>139</v>
      </c>
      <c r="F102" t="s">
        <v>139</v>
      </c>
      <c r="G102" t="s">
        <v>135</v>
      </c>
      <c r="H102" t="s">
        <v>135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1</v>
      </c>
      <c r="BY102">
        <v>1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3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2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2</v>
      </c>
    </row>
    <row r="103" spans="1:133" x14ac:dyDescent="0.3">
      <c r="A103" t="s">
        <v>261</v>
      </c>
      <c r="B103" t="s">
        <v>151</v>
      </c>
      <c r="C103" t="s">
        <v>133</v>
      </c>
      <c r="D103" t="s">
        <v>134</v>
      </c>
      <c r="E103" t="s">
        <v>139</v>
      </c>
      <c r="F103" t="s">
        <v>139</v>
      </c>
      <c r="G103" t="s">
        <v>139</v>
      </c>
      <c r="H103" t="s">
        <v>139</v>
      </c>
      <c r="I103" t="s">
        <v>200</v>
      </c>
      <c r="J103">
        <v>162.56</v>
      </c>
      <c r="K103">
        <v>65.770839999999893</v>
      </c>
      <c r="L103">
        <v>24.888917453616099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2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1</v>
      </c>
      <c r="CC103">
        <v>1</v>
      </c>
      <c r="CD103">
        <v>0</v>
      </c>
      <c r="CE103">
        <v>1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5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0</v>
      </c>
      <c r="CW103">
        <v>1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1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3</v>
      </c>
    </row>
    <row r="104" spans="1:133" x14ac:dyDescent="0.3">
      <c r="A104" t="s">
        <v>262</v>
      </c>
      <c r="B104" t="s">
        <v>151</v>
      </c>
      <c r="C104" t="s">
        <v>133</v>
      </c>
      <c r="D104" t="s">
        <v>134</v>
      </c>
      <c r="E104" t="s">
        <v>139</v>
      </c>
      <c r="F104" t="s">
        <v>139</v>
      </c>
      <c r="G104" t="s">
        <v>139</v>
      </c>
      <c r="H104" t="s">
        <v>139</v>
      </c>
      <c r="I104" t="s">
        <v>136</v>
      </c>
      <c r="J104">
        <v>167.64</v>
      </c>
      <c r="K104">
        <v>61.234920000000002</v>
      </c>
      <c r="L104">
        <v>21.789328702624299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1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3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2</v>
      </c>
      <c r="DF104">
        <v>0</v>
      </c>
      <c r="DG104">
        <v>1</v>
      </c>
      <c r="DH104">
        <v>1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1</v>
      </c>
      <c r="DV104">
        <v>0</v>
      </c>
      <c r="DW104">
        <v>1</v>
      </c>
      <c r="DX104">
        <v>0</v>
      </c>
      <c r="DY104">
        <v>0</v>
      </c>
      <c r="DZ104">
        <v>1</v>
      </c>
      <c r="EA104">
        <v>0</v>
      </c>
      <c r="EB104">
        <v>0</v>
      </c>
      <c r="EC104">
        <v>7</v>
      </c>
    </row>
    <row r="105" spans="1:133" x14ac:dyDescent="0.3">
      <c r="A105" t="s">
        <v>263</v>
      </c>
      <c r="B105" t="s">
        <v>151</v>
      </c>
      <c r="C105" t="s">
        <v>138</v>
      </c>
      <c r="D105" t="s">
        <v>134</v>
      </c>
      <c r="E105" t="s">
        <v>135</v>
      </c>
      <c r="F105" t="s">
        <v>135</v>
      </c>
      <c r="G105" t="s">
        <v>139</v>
      </c>
      <c r="H105" t="s">
        <v>139</v>
      </c>
      <c r="I105" t="s">
        <v>209</v>
      </c>
      <c r="J105">
        <v>187.96</v>
      </c>
      <c r="K105">
        <v>79.832191999999907</v>
      </c>
      <c r="L105">
        <v>22.596812469008398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5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1</v>
      </c>
      <c r="DF105">
        <v>0</v>
      </c>
      <c r="DG105">
        <v>1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3</v>
      </c>
    </row>
    <row r="106" spans="1:133" x14ac:dyDescent="0.3">
      <c r="A106" t="s">
        <v>264</v>
      </c>
      <c r="B106" t="s">
        <v>151</v>
      </c>
      <c r="C106" t="s">
        <v>138</v>
      </c>
      <c r="D106" t="s">
        <v>134</v>
      </c>
      <c r="E106" t="s">
        <v>139</v>
      </c>
      <c r="F106" t="s">
        <v>139</v>
      </c>
      <c r="G106" t="s">
        <v>135</v>
      </c>
      <c r="H106" t="s">
        <v>135</v>
      </c>
      <c r="I106" t="s">
        <v>145</v>
      </c>
      <c r="J106">
        <v>177.8</v>
      </c>
      <c r="K106">
        <v>83.460927999999996</v>
      </c>
      <c r="L106">
        <v>26.400958597835501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1</v>
      </c>
    </row>
    <row r="107" spans="1:133" x14ac:dyDescent="0.3">
      <c r="A107" t="s">
        <v>265</v>
      </c>
      <c r="B107" t="s">
        <v>151</v>
      </c>
      <c r="C107" t="s">
        <v>138</v>
      </c>
      <c r="D107" t="s">
        <v>134</v>
      </c>
      <c r="E107" t="s">
        <v>139</v>
      </c>
      <c r="F107" t="s">
        <v>139</v>
      </c>
      <c r="G107" t="s">
        <v>139</v>
      </c>
      <c r="H107" t="s">
        <v>139</v>
      </c>
      <c r="I107" t="s">
        <v>136</v>
      </c>
      <c r="J107">
        <v>180.34</v>
      </c>
      <c r="K107">
        <v>108.862079999999</v>
      </c>
      <c r="L107">
        <f>K107/(J107/100)^2</f>
        <v>33.472835047236934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1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0</v>
      </c>
      <c r="CD107">
        <v>1</v>
      </c>
      <c r="CE107">
        <v>0</v>
      </c>
      <c r="CF107">
        <v>1</v>
      </c>
      <c r="CG107">
        <v>0</v>
      </c>
      <c r="CH107">
        <v>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4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1</v>
      </c>
      <c r="DF107">
        <v>1</v>
      </c>
      <c r="DG107">
        <v>1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4</v>
      </c>
    </row>
    <row r="108" spans="1:133" x14ac:dyDescent="0.3">
      <c r="A108" t="s">
        <v>266</v>
      </c>
      <c r="B108" t="s">
        <v>151</v>
      </c>
      <c r="C108" t="s">
        <v>138</v>
      </c>
      <c r="D108" t="s">
        <v>134</v>
      </c>
      <c r="E108" t="s">
        <v>135</v>
      </c>
      <c r="F108" t="s">
        <v>135</v>
      </c>
      <c r="G108" t="s">
        <v>135</v>
      </c>
      <c r="H108" t="s">
        <v>135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1</v>
      </c>
    </row>
    <row r="109" spans="1:133" x14ac:dyDescent="0.3">
      <c r="A109" t="s">
        <v>267</v>
      </c>
      <c r="B109" t="s">
        <v>151</v>
      </c>
      <c r="C109" t="s">
        <v>138</v>
      </c>
      <c r="D109" t="s">
        <v>134</v>
      </c>
      <c r="E109" t="s">
        <v>139</v>
      </c>
      <c r="F109" t="s">
        <v>139</v>
      </c>
      <c r="G109" t="s">
        <v>135</v>
      </c>
      <c r="H109" t="s">
        <v>135</v>
      </c>
      <c r="I109" t="s">
        <v>145</v>
      </c>
      <c r="J109">
        <v>172.72</v>
      </c>
      <c r="K109">
        <v>73.481904</v>
      </c>
      <c r="L109">
        <v>24.6317428621016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1</v>
      </c>
      <c r="CF109">
        <v>1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6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0</v>
      </c>
      <c r="DN109">
        <v>0</v>
      </c>
      <c r="DO109">
        <v>0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</v>
      </c>
      <c r="DY109">
        <v>0</v>
      </c>
      <c r="DZ109">
        <v>0</v>
      </c>
      <c r="EA109">
        <v>0</v>
      </c>
      <c r="EB109">
        <v>0</v>
      </c>
      <c r="EC109">
        <v>3</v>
      </c>
    </row>
    <row r="110" spans="1:133" x14ac:dyDescent="0.3">
      <c r="A110" t="s">
        <v>268</v>
      </c>
      <c r="B110" t="s">
        <v>151</v>
      </c>
      <c r="C110" t="s">
        <v>138</v>
      </c>
      <c r="D110" t="s">
        <v>134</v>
      </c>
      <c r="E110" t="s">
        <v>139</v>
      </c>
      <c r="F110" t="s">
        <v>139</v>
      </c>
      <c r="G110" t="s">
        <v>139</v>
      </c>
      <c r="H110" t="s">
        <v>139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2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1</v>
      </c>
    </row>
    <row r="111" spans="1:133" x14ac:dyDescent="0.3">
      <c r="A111" t="s">
        <v>269</v>
      </c>
      <c r="B111" t="s">
        <v>151</v>
      </c>
      <c r="C111" t="s">
        <v>138</v>
      </c>
      <c r="D111" t="s">
        <v>134</v>
      </c>
      <c r="E111" t="s">
        <v>135</v>
      </c>
      <c r="F111" t="s">
        <v>135</v>
      </c>
      <c r="G111" t="s">
        <v>135</v>
      </c>
      <c r="H111" t="s">
        <v>135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</row>
    <row r="112" spans="1:133" x14ac:dyDescent="0.3">
      <c r="A112" t="s">
        <v>270</v>
      </c>
      <c r="B112" t="s">
        <v>151</v>
      </c>
      <c r="C112" t="s">
        <v>138</v>
      </c>
      <c r="D112" t="s">
        <v>134</v>
      </c>
      <c r="E112" t="s">
        <v>139</v>
      </c>
      <c r="F112" t="s">
        <v>139</v>
      </c>
      <c r="G112" t="s">
        <v>139</v>
      </c>
      <c r="H112" t="s">
        <v>139</v>
      </c>
      <c r="I112" t="s">
        <v>145</v>
      </c>
      <c r="J112">
        <v>170.18</v>
      </c>
      <c r="K112">
        <v>59.874144000000001</v>
      </c>
      <c r="L112">
        <v>20.673893697976698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3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1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1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4</v>
      </c>
    </row>
    <row r="113" spans="1:133" x14ac:dyDescent="0.3">
      <c r="A113" t="s">
        <v>271</v>
      </c>
      <c r="B113" t="s">
        <v>151</v>
      </c>
      <c r="C113" t="s">
        <v>138</v>
      </c>
      <c r="D113" t="s">
        <v>134</v>
      </c>
      <c r="E113" t="s">
        <v>135</v>
      </c>
      <c r="F113" t="s">
        <v>135</v>
      </c>
      <c r="G113" t="s">
        <v>135</v>
      </c>
      <c r="H113" t="s">
        <v>135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2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4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2</v>
      </c>
    </row>
    <row r="114" spans="1:133" x14ac:dyDescent="0.3">
      <c r="A114" t="s">
        <v>272</v>
      </c>
      <c r="B114" t="s">
        <v>151</v>
      </c>
      <c r="C114" t="s">
        <v>138</v>
      </c>
      <c r="D114" t="s">
        <v>134</v>
      </c>
      <c r="E114" t="s">
        <v>135</v>
      </c>
      <c r="F114" t="s">
        <v>135</v>
      </c>
      <c r="G114" t="s">
        <v>139</v>
      </c>
      <c r="H114" t="s">
        <v>139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1</v>
      </c>
    </row>
    <row r="115" spans="1:133" x14ac:dyDescent="0.3">
      <c r="A115" t="s">
        <v>273</v>
      </c>
      <c r="B115" t="s">
        <v>151</v>
      </c>
      <c r="C115" t="s">
        <v>138</v>
      </c>
      <c r="D115" t="s">
        <v>134</v>
      </c>
      <c r="E115" t="s">
        <v>135</v>
      </c>
      <c r="F115" t="s">
        <v>135</v>
      </c>
      <c r="G115" t="s">
        <v>139</v>
      </c>
      <c r="H115" t="s">
        <v>135</v>
      </c>
      <c r="I115" t="s">
        <v>274</v>
      </c>
      <c r="J115">
        <v>177.8</v>
      </c>
      <c r="K115">
        <v>72.574719999999999</v>
      </c>
      <c r="L115">
        <v>22.9573553024657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1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1</v>
      </c>
      <c r="CD115">
        <v>0</v>
      </c>
      <c r="CE115">
        <v>1</v>
      </c>
      <c r="CF115">
        <v>0</v>
      </c>
      <c r="CG115">
        <v>1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7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</row>
    <row r="116" spans="1:133" x14ac:dyDescent="0.3">
      <c r="A116" t="s">
        <v>275</v>
      </c>
      <c r="B116" t="s">
        <v>141</v>
      </c>
      <c r="C116" t="s">
        <v>133</v>
      </c>
      <c r="D116" t="s">
        <v>134</v>
      </c>
      <c r="E116" t="s">
        <v>135</v>
      </c>
      <c r="F116" t="s">
        <v>135</v>
      </c>
      <c r="G116" t="s">
        <v>135</v>
      </c>
      <c r="H116" t="s">
        <v>135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4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1</v>
      </c>
      <c r="DF116">
        <v>0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1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3</v>
      </c>
    </row>
    <row r="117" spans="1:133" x14ac:dyDescent="0.3">
      <c r="A117" t="s">
        <v>276</v>
      </c>
      <c r="B117" t="s">
        <v>141</v>
      </c>
      <c r="C117" t="s">
        <v>133</v>
      </c>
      <c r="D117" t="s">
        <v>134</v>
      </c>
      <c r="E117" t="s">
        <v>135</v>
      </c>
      <c r="F117" t="s">
        <v>135</v>
      </c>
      <c r="G117" t="s">
        <v>135</v>
      </c>
      <c r="H117" t="s">
        <v>135</v>
      </c>
      <c r="I117" t="s">
        <v>158</v>
      </c>
      <c r="J117">
        <v>154.94</v>
      </c>
      <c r="K117">
        <v>71.213943999999998</v>
      </c>
      <c r="L117">
        <v>29.664561667204499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1</v>
      </c>
      <c r="BY117">
        <v>0</v>
      </c>
      <c r="BZ117">
        <v>0</v>
      </c>
      <c r="CA117">
        <v>0</v>
      </c>
      <c r="CB117">
        <v>1</v>
      </c>
      <c r="CC117">
        <v>1</v>
      </c>
      <c r="CD117">
        <v>0</v>
      </c>
      <c r="CE117">
        <v>1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7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2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1</v>
      </c>
      <c r="DN117">
        <v>0</v>
      </c>
      <c r="DO117">
        <v>0</v>
      </c>
      <c r="DP117">
        <v>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4</v>
      </c>
    </row>
    <row r="118" spans="1:133" x14ac:dyDescent="0.3">
      <c r="A118" t="s">
        <v>277</v>
      </c>
      <c r="B118" t="s">
        <v>141</v>
      </c>
      <c r="C118" t="s">
        <v>133</v>
      </c>
      <c r="D118" t="s">
        <v>134</v>
      </c>
      <c r="E118" t="s">
        <v>139</v>
      </c>
      <c r="F118" t="s">
        <v>139</v>
      </c>
      <c r="G118" t="s">
        <v>139</v>
      </c>
      <c r="H118" t="s">
        <v>139</v>
      </c>
      <c r="M118">
        <v>0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7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3</v>
      </c>
      <c r="AZ118">
        <v>0</v>
      </c>
      <c r="BA118">
        <v>0</v>
      </c>
      <c r="BB118">
        <v>1</v>
      </c>
      <c r="BC118">
        <v>0</v>
      </c>
      <c r="BD118">
        <v>1</v>
      </c>
      <c r="BE118">
        <v>0</v>
      </c>
      <c r="BF118">
        <v>1</v>
      </c>
      <c r="BG118">
        <v>0</v>
      </c>
      <c r="BH118">
        <v>1</v>
      </c>
      <c r="BI118">
        <v>1</v>
      </c>
      <c r="BJ118">
        <v>1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6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</v>
      </c>
      <c r="CC118">
        <v>1</v>
      </c>
      <c r="CD118">
        <v>1</v>
      </c>
      <c r="CE118">
        <v>1</v>
      </c>
      <c r="CF118">
        <v>0</v>
      </c>
      <c r="CG118">
        <v>1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8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3</v>
      </c>
      <c r="DF118">
        <v>0</v>
      </c>
      <c r="DG118">
        <v>1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1</v>
      </c>
      <c r="DQ118">
        <v>1</v>
      </c>
      <c r="DR118">
        <v>0</v>
      </c>
      <c r="DS118">
        <v>0</v>
      </c>
      <c r="DT118">
        <v>1</v>
      </c>
      <c r="DU118">
        <v>0</v>
      </c>
      <c r="DV118">
        <v>0</v>
      </c>
      <c r="DW118">
        <v>1</v>
      </c>
      <c r="DX118">
        <v>1</v>
      </c>
      <c r="DY118">
        <v>0</v>
      </c>
      <c r="DZ118">
        <v>1</v>
      </c>
      <c r="EA118">
        <v>0</v>
      </c>
      <c r="EB118">
        <v>0</v>
      </c>
      <c r="EC118">
        <v>8</v>
      </c>
    </row>
    <row r="119" spans="1:133" x14ac:dyDescent="0.3">
      <c r="A119" t="s">
        <v>278</v>
      </c>
      <c r="B119" t="s">
        <v>141</v>
      </c>
      <c r="C119" t="s">
        <v>133</v>
      </c>
      <c r="D119" t="s">
        <v>134</v>
      </c>
      <c r="E119" t="s">
        <v>135</v>
      </c>
      <c r="F119" t="s">
        <v>135</v>
      </c>
      <c r="G119" t="s">
        <v>139</v>
      </c>
      <c r="H119" t="s">
        <v>139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4</v>
      </c>
      <c r="CQ119">
        <v>0</v>
      </c>
      <c r="CR119">
        <v>0</v>
      </c>
      <c r="CS119">
        <v>0</v>
      </c>
      <c r="CT119">
        <v>1</v>
      </c>
      <c r="CU119">
        <v>1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4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1</v>
      </c>
      <c r="EA119">
        <v>0</v>
      </c>
      <c r="EB119">
        <v>1</v>
      </c>
      <c r="EC119">
        <v>3</v>
      </c>
    </row>
    <row r="120" spans="1:133" x14ac:dyDescent="0.3">
      <c r="A120" t="s">
        <v>279</v>
      </c>
      <c r="B120" t="s">
        <v>141</v>
      </c>
      <c r="C120" t="s">
        <v>138</v>
      </c>
      <c r="D120" t="s">
        <v>134</v>
      </c>
      <c r="E120" t="s">
        <v>139</v>
      </c>
      <c r="F120" t="s">
        <v>139</v>
      </c>
      <c r="G120" t="s">
        <v>135</v>
      </c>
      <c r="H120" t="s">
        <v>135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1</v>
      </c>
    </row>
    <row r="121" spans="1:133" x14ac:dyDescent="0.3">
      <c r="A121" t="s">
        <v>280</v>
      </c>
      <c r="B121" t="s">
        <v>141</v>
      </c>
      <c r="C121" t="s">
        <v>138</v>
      </c>
      <c r="D121" t="s">
        <v>134</v>
      </c>
      <c r="E121" t="s">
        <v>139</v>
      </c>
      <c r="F121" t="s">
        <v>135</v>
      </c>
      <c r="G121" t="s">
        <v>135</v>
      </c>
      <c r="H121" t="s">
        <v>135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</row>
    <row r="122" spans="1:133" x14ac:dyDescent="0.3">
      <c r="A122" t="s">
        <v>281</v>
      </c>
      <c r="B122" t="s">
        <v>141</v>
      </c>
      <c r="C122" t="s">
        <v>138</v>
      </c>
      <c r="D122" t="s">
        <v>134</v>
      </c>
      <c r="E122" t="s">
        <v>135</v>
      </c>
      <c r="F122" t="s">
        <v>135</v>
      </c>
      <c r="G122" t="s">
        <v>135</v>
      </c>
      <c r="H122" t="s">
        <v>135</v>
      </c>
      <c r="I122" t="s">
        <v>145</v>
      </c>
      <c r="J122">
        <v>180.34</v>
      </c>
      <c r="K122">
        <v>67.585207999999994</v>
      </c>
      <c r="L122">
        <v>20.781051758493099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2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</v>
      </c>
      <c r="DG122">
        <v>0</v>
      </c>
      <c r="DH122">
        <v>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4</v>
      </c>
    </row>
    <row r="123" spans="1:133" x14ac:dyDescent="0.3">
      <c r="A123" t="s">
        <v>282</v>
      </c>
      <c r="B123" t="s">
        <v>141</v>
      </c>
      <c r="C123" t="s">
        <v>138</v>
      </c>
      <c r="D123" t="s">
        <v>134</v>
      </c>
      <c r="E123" t="s">
        <v>135</v>
      </c>
      <c r="F123" t="s">
        <v>135</v>
      </c>
      <c r="G123" t="s">
        <v>135</v>
      </c>
      <c r="H123" t="s">
        <v>135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2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</v>
      </c>
      <c r="EC12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B0F6015F6D094EA004797E0F83A201" ma:contentTypeVersion="11" ma:contentTypeDescription="Crear nuevo documento." ma:contentTypeScope="" ma:versionID="6462378202b3d810c2c3e484a1588818">
  <xsd:schema xmlns:xsd="http://www.w3.org/2001/XMLSchema" xmlns:xs="http://www.w3.org/2001/XMLSchema" xmlns:p="http://schemas.microsoft.com/office/2006/metadata/properties" xmlns:ns2="4e479672-fa21-4d64-b889-90d1579ee051" xmlns:ns3="52ff87e0-ed2d-421c-9c40-a515f1d58bad" targetNamespace="http://schemas.microsoft.com/office/2006/metadata/properties" ma:root="true" ma:fieldsID="59f985912d492e165f69d2d27cd14977" ns2:_="" ns3:_="">
    <xsd:import namespace="4e479672-fa21-4d64-b889-90d1579ee051"/>
    <xsd:import namespace="52ff87e0-ed2d-421c-9c40-a515f1d58b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79672-fa21-4d64-b889-90d1579ee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de76884-0736-46ef-b9a9-2b0a7f0054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ff87e0-ed2d-421c-9c40-a515f1d58b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7b0c0b-e6b7-406d-9db0-1abec7544555}" ma:internalName="TaxCatchAll" ma:showField="CatchAllData" ma:web="52ff87e0-ed2d-421c-9c40-a515f1d58b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ff87e0-ed2d-421c-9c40-a515f1d58bad" xsi:nil="true"/>
    <lcf76f155ced4ddcb4097134ff3c332f xmlns="4e479672-fa21-4d64-b889-90d1579ee0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0EBAF0-6559-4F32-A8C0-D6DE56DFC3D0}"/>
</file>

<file path=customXml/itemProps2.xml><?xml version="1.0" encoding="utf-8"?>
<ds:datastoreItem xmlns:ds="http://schemas.openxmlformats.org/officeDocument/2006/customXml" ds:itemID="{80E17234-3431-4C05-8860-5BADE7D6D4E8}"/>
</file>

<file path=customXml/itemProps3.xml><?xml version="1.0" encoding="utf-8"?>
<ds:datastoreItem xmlns:ds="http://schemas.openxmlformats.org/officeDocument/2006/customXml" ds:itemID="{164E30FD-1DE5-4A68-9FCA-8B7FF62C9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selected_participants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Vega Rodrigálvarez</cp:lastModifiedBy>
  <dcterms:created xsi:type="dcterms:W3CDTF">2025-12-26T19:54:29Z</dcterms:created>
  <dcterms:modified xsi:type="dcterms:W3CDTF">2025-12-26T21:32:59Z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0x01010026B0F6015F6D094EA004797E0F83A201</vt:lpwstr>
  </property>
  <property fmtid="{D5CDD505-2E9C-101B-9397-08002B2CF9AE}" pid="3" name="MediaServiceImageTags">
    <vt:lpwstr/>
  </property>
</Properties>
</file>